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d60c07175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04b4da3bc3493a"/>
    <x:sheet xmlns:r="http://schemas.openxmlformats.org/officeDocument/2006/relationships" name="Harvests" sheetId="2" r:id="Rb77601af1e30451c"/>
    <x:sheet xmlns:r="http://schemas.openxmlformats.org/officeDocument/2006/relationships" name="System &amp; Costs" sheetId="3" r:id="Racc4ab8436ac4cc7"/>
    <x:sheet xmlns:r="http://schemas.openxmlformats.org/officeDocument/2006/relationships" name="Review Log" sheetId="4" r:id="R3c04bf7a8f0d42dc"/>
    <x:sheet xmlns:r="http://schemas.openxmlformats.org/officeDocument/2006/relationships" name="Economics" sheetId="5" r:id="Rafdbf6d8d2054f49"/>
    <x:sheet xmlns:r="http://schemas.openxmlformats.org/officeDocument/2006/relationships" name="External Inputs" sheetId="6" r:id="R91e00cb416a54631"/>
    <x:sheet xmlns:r="http://schemas.openxmlformats.org/officeDocument/2006/relationships" name="Sensitivity" sheetId="7" r:id="Rd50e7411360744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">
    <x:numFmt numFmtId="200" formatCode="yyyy-mm-dd"/>
    <x:numFmt numFmtId="201" formatCode="0.00;-0.00;-"/>
    <x:numFmt numFmtId="202" formatCode="0.00"/>
    <x:numFmt numFmtId="203" formatCode="$#,##0.00;[Red]($#,##0.00);-"/>
    <x:numFmt numFmtId="204" formatCode="0.00;[Red](0.00);-"/>
    <x:numFmt numFmtId="205" formatCode="0.0%"/>
    <x:numFmt numFmtId="206" formatCode="$0.00;[Red]($0.00);-"/>
    <x:numFmt numFmtId="207" formatCode="$0.0000"/>
    <x:numFmt numFmtId="208" formatCode="$#,##0;[Red]($#,##0);-"/>
    <x:numFmt numFmtId="209" formatCode="#,##0.0;[Red](#,##0.0);-"/>
    <x:numFmt numFmtId="210" formatCode="#,##0;[Red](#,##0);-"/>
    <x:numFmt numFmtId="211" formatCode="$0.00"/>
    <x:numFmt numFmtId="212" formatCode="#,##0.0"/>
    <x:numFmt numFmtId="213" formatCode="0.0x"/>
    <x:numFmt numFmtId="214" formatCode="0.000"/>
    <x:numFmt numFmtId="215" formatCode="0.0"/>
  </x:numFmts>
  <x:fonts count="11">
    <x:font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  <x:font>
      <x:sz val="11"/>
      <x:color rgb="FF008000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0000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0" borderId="0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3" fontId="2" fillId="0" borderId="0" xfId="0" applyNumberFormat="1" applyFont="1" applyFill="1" applyBorder="1" applyAlignment="1">
      <x:alignment wrapText="1"/>
    </x:xf>
    <x:xf numFmtId="203" fontId="3" fillId="0" borderId="0" xfId="0" applyNumberFormat="1" applyFont="1" applyFill="1" applyBorder="1" applyAlignment="1">
      <x:alignment wrapText="1"/>
    </x:xf>
    <x:xf numFmtId="203" fontId="2" fillId="0" borderId="1" xfId="0" applyNumberFormat="1" applyFont="1" applyFill="1" applyBorder="1" applyAlignment="1">
      <x:alignment wrapText="1"/>
    </x:xf>
    <x:xf numFmtId="203" fontId="3" fillId="0" borderId="1" xfId="0" applyNumberFormat="1" applyFont="1" applyFill="1" applyBorder="1" applyAlignment="1">
      <x:alignment wrapText="1"/>
    </x:xf>
    <x:xf numFmtId="204" fontId="2" fillId="0" borderId="0" xfId="0" applyNumberFormat="1" applyFont="1" applyFill="1" applyBorder="1" applyAlignment="1">
      <x:alignment wrapText="1"/>
    </x:xf>
    <x:xf numFmtId="204" fontId="3" fillId="0" borderId="0" xfId="0" applyNumberFormat="1" applyFont="1" applyFill="1" applyBorder="1" applyAlignment="1">
      <x:alignment wrapText="1"/>
    </x:xf>
    <x:xf numFmtId="204" fontId="2" fillId="0" borderId="1" xfId="0" applyNumberFormat="1" applyFont="1" applyFill="1" applyBorder="1" applyAlignment="1">
      <x:alignment wrapText="1"/>
    </x:xf>
    <x:xf numFmtId="204" fontId="3" fillId="0" borderId="1" xfId="0" applyNumberFormat="1" applyFont="1" applyFill="1" applyBorder="1" applyAlignment="1">
      <x:alignment wrapText="1"/>
    </x:xf>
    <x:xf numFmtId="204" fontId="2" fillId="5" borderId="0" xfId="0" applyNumberFormat="1" applyFont="1" applyFill="1" applyBorder="1" applyAlignment="1">
      <x:alignment wrapText="1"/>
    </x:xf>
    <x:xf numFmtId="204" fontId="2" fillId="5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7" fillId="0" borderId="0" xfId="0" applyNumberFormat="1" applyFont="1" applyFill="1" applyBorder="1" applyAlignment="1">
      <x:alignment wrapText="1"/>
    </x:xf>
    <x:xf numFmtId="204" fontId="7" fillId="0" borderId="1" xfId="0" applyNumberFormat="1" applyFont="1" applyFill="1" applyBorder="1" applyAlignment="1">
      <x:alignment wrapText="1"/>
    </x:xf>
    <x:xf numFmtId="203" fontId="7" fillId="0" borderId="0" xfId="0" applyNumberFormat="1" applyFont="1" applyFill="1" applyBorder="1" applyAlignment="1">
      <x:alignment wrapText="1"/>
    </x:xf>
    <x:xf numFmtId="203" fontId="7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7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1" xfId="0" applyNumberFormat="1" applyFont="1" applyFill="1" applyBorder="1"/>
    <x:xf numFmtId="0" fontId="7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205" fontId="2" fillId="8" borderId="0" xfId="0" applyNumberFormat="1" applyFont="1" applyFill="1" applyBorder="1" applyAlignment="1">
      <x:alignment wrapText="1"/>
    </x:xf>
    <x:xf numFmtId="205" fontId="2" fillId="0" borderId="0" xfId="0" applyNumberFormat="1" applyFont="1" applyFill="1" applyBorder="1" applyAlignment="1">
      <x:alignment wrapText="1"/>
    </x:xf>
    <x:xf numFmtId="206" fontId="2" fillId="0" borderId="0" xfId="0" applyNumberFormat="1" applyFont="1" applyFill="1" applyBorder="1" applyAlignment="1">
      <x:alignment wrapText="1"/>
    </x:xf>
    <x:xf numFmtId="207" fontId="2" fillId="8" borderId="0" xfId="0" applyNumberFormat="1" applyFont="1" applyFill="1" applyBorder="1" applyAlignment="1">
      <x:alignment wrapText="1"/>
    </x:xf>
    <x:xf numFmtId="208" fontId="2" fillId="8" borderId="0" xfId="0" applyNumberFormat="1" applyFont="1" applyFill="1" applyBorder="1" applyAlignment="1">
      <x:alignment wrapText="1"/>
    </x:xf>
    <x:xf numFmtId="206" fontId="2" fillId="8" borderId="0" xfId="0" applyNumberFormat="1" applyFont="1" applyFill="1" applyBorder="1" applyAlignment="1">
      <x:alignment wrapText="1"/>
    </x:xf>
    <x:xf numFmtId="209" fontId="3" fillId="0" borderId="0" xfId="0" applyNumberFormat="1" applyFont="1" applyFill="1" applyBorder="1" applyAlignment="1">
      <x:alignment wrapText="1"/>
    </x:xf>
    <x:xf numFmtId="208" fontId="3" fillId="0" borderId="0" xfId="0" applyNumberFormat="1" applyFont="1" applyFill="1" applyBorder="1" applyAlignment="1">
      <x:alignment wrapText="1"/>
    </x:xf>
    <x:xf numFmtId="206" fontId="3" fillId="0" borderId="0" xfId="0" applyNumberFormat="1" applyFont="1" applyFill="1" applyBorder="1" applyAlignment="1">
      <x:alignment wrapText="1"/>
    </x:xf>
    <x:xf numFmtId="210" fontId="3" fillId="0" borderId="0" xfId="0" applyNumberFormat="1" applyFont="1" applyFill="1" applyBorder="1" applyAlignment="1">
      <x:alignment wrapText="1"/>
    </x:xf>
    <x:xf numFmtId="207" fontId="2" fillId="0" borderId="0" xfId="0" applyNumberFormat="1" applyFont="1" applyFill="1" applyBorder="1" applyAlignment="1">
      <x:alignment wrapText="1"/>
    </x:xf>
    <x:xf numFmtId="211" fontId="2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212" fontId="0" fillId="0" borderId="0" xfId="0" applyNumberFormat="1" applyFont="1" applyFill="1" applyBorder="1" applyAlignment="1">
      <x:alignment wrapText="1"/>
    </x:xf>
    <x:xf numFmtId="213" fontId="0" fillId="0" borderId="0" xfId="0" applyNumberFormat="1" applyFont="1" applyFill="1" applyBorder="1" applyAlignment="1">
      <x:alignment wrapText="1"/>
    </x:xf>
    <x:xf numFmtId="214" fontId="0" fillId="0" borderId="0" xfId="0" applyNumberFormat="1" applyFont="1" applyFill="1" applyBorder="1" applyAlignment="1">
      <x:alignment wrapText="1"/>
    </x:xf>
    <x:xf numFmtId="215" fontId="2" fillId="0" borderId="0" xfId="0" applyNumberFormat="1" applyFont="1" applyFill="1" applyBorder="1" applyAlignment="1">
      <x:alignment wrapText="1"/>
    </x:xf>
    <x:xf numFmtId="215" fontId="7" fillId="0" borderId="0" xfId="0" applyNumberFormat="1" applyFont="1" applyFill="1" applyBorder="1" applyAlignment="1">
      <x:alignment wrapText="1"/>
    </x:xf>
    <x:xf numFmtId="215" fontId="2" fillId="8" borderId="0" xfId="0" applyNumberFormat="1" applyFont="1" applyFill="1" applyBorder="1" applyAlignment="1">
      <x:alignment wrapText="1"/>
    </x:xf>
    <x:xf numFmtId="214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f790f42d0b41e1" /><Relationship Type="http://schemas.openxmlformats.org/officeDocument/2006/relationships/theme" Target="/xl/theme/theme1.xml" Id="R6f92d3e0857347b9" /><Relationship Type="http://schemas.microsoft.com/office/2022/11/relationships/FeaturePropertyBag" Target="/xl/featurePropertyBag/featurePropertyBag.xml" Id="R3db5022281e5462e" /><Relationship Type="http://schemas.openxmlformats.org/officeDocument/2006/relationships/sharedStrings" Target="/xl/sharedStrings.xml" Id="R88b4bd5d8b7e44dc" /><Relationship Type="http://schemas.openxmlformats.org/officeDocument/2006/relationships/worksheet" Target="/xl/worksheets/sheet1.xml" Id="Re304b4da3bc3493a" /><Relationship Type="http://schemas.openxmlformats.org/officeDocument/2006/relationships/worksheet" Target="/xl/worksheets/sheet2.xml" Id="Rb77601af1e30451c" /><Relationship Type="http://schemas.openxmlformats.org/officeDocument/2006/relationships/worksheet" Target="/xl/worksheets/sheet3.xml" Id="Racc4ab8436ac4cc7" /><Relationship Type="http://schemas.openxmlformats.org/officeDocument/2006/relationships/worksheet" Target="/xl/worksheets/sheet4.xml" Id="R3c04bf7a8f0d42dc" /><Relationship Type="http://schemas.openxmlformats.org/officeDocument/2006/relationships/worksheet" Target="/xl/worksheets/sheet5.xml" Id="Rafdbf6d8d2054f49" /><Relationship Type="http://schemas.openxmlformats.org/officeDocument/2006/relationships/worksheet" Target="/xl/worksheets/sheet6.xml" Id="R91e00cb416a54631" /><Relationship Type="http://schemas.openxmlformats.org/officeDocument/2006/relationships/worksheet" Target="/xl/worksheets/sheet7.xml" Id="Rd50e7411360744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109731765248e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834c4af7ae9451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c6262e0488a4e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Mature Genovese harvests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Harvest (g)</c:v>
          </c:tx>
          <c:marker>
            <c:symbol val="none"/>
          </c:marker>
          <c:cat>
            <c:strRef>
              <c:f>'Summary'!$J$3:$J$8</c:f>
              <c:strCache>
                <c:ptCount val="0"/>
              </c:strCache>
            </c:strRef>
          </c:cat>
          <c:val>
            <c:numRef>
              <c:f>'Summary'!$K$3:$K$8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Harvest weights over time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Cultivar</c:v>
          </c:tx>
          <c:cat>
            <c:strRef>
              <c:f>'Harvests'!$A$2:$A$25</c:f>
              <c:strCache>
                <c:ptCount val="0"/>
              </c:strCache>
            </c:strRef>
          </c:cat>
          <c:val>
            <c:numRef>
              <c:f>'Harvests'!$B$2:$B$25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Repo weight (g)</c:v>
          </c:tx>
          <c:cat>
            <c:strRef>
              <c:f>'Harvests'!$A$2:$A$25</c:f>
              <c:strCache>
                <c:ptCount val="0"/>
              </c:strCache>
            </c:strRef>
          </c:cat>
          <c:val>
            <c:numRef>
              <c:f>'Harvests'!$C$2:$C$25</c:f>
              <c:numCache>
                <c:formatCode>0.00;-0.00;-</c:formatCode>
                <c:ptCount val="0"/>
              </c:numCache>
            </c:numRef>
          </c:val>
        </c:ser>
        <c:ser>
          <c:idx val="2"/>
          <c:order val="2"/>
          <c:tx>
            <c:v>Reviewed total (g)</c:v>
          </c:tx>
          <c:cat>
            <c:strRef>
              <c:f>'Harvests'!$A$2:$A$25</c:f>
              <c:strCache>
                <c:ptCount val="0"/>
              </c:strCache>
            </c:strRef>
          </c:cat>
          <c:val>
            <c:numRef>
              <c:f>'Harvests'!$D$2:$D$25</c:f>
              <c:numCache>
                <c:formatCode>0.00;-0.00;-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Cash Owner Income vs Realized Basil Price</a:t>
            </a:r>
          </a:p>
        </c:rich>
      </c:tx>
    </c:title>
    <c:plotArea>
      <c:lineChart>
        <c:grouping val="standard"/>
        <c:ser>
          <c:idx val="0"/>
          <c:order val="0"/>
          <c:tx>
            <c:v>Annual revenue ($)</c:v>
          </c:tx>
          <c:marker>
            <c:symbol val="none"/>
          </c:marker>
          <c:cat>
            <c:strRef>
              <c:f>'Sensitivity'!$A$6:$A$14</c:f>
              <c:strCache>
                <c:ptCount val="0"/>
              </c:strCache>
            </c:strRef>
          </c:cat>
          <c:val>
            <c:numRef>
              <c:f>'Sensitivity'!$B$6:$B$14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Cash owner income ($)</c:v>
          </c:tx>
          <c:marker>
            <c:symbol val="none"/>
          </c:marker>
          <c:cat>
            <c:strRef>
              <c:f>'Sensitivity'!$A$6:$A$14</c:f>
              <c:strCache>
                <c:ptCount val="0"/>
              </c:strCache>
            </c:strRef>
          </c:cat>
          <c:val>
            <c:numRef>
              <c:f>'Sensitivity'!$C$6:$C$14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109731765248e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34c4af7ae9451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6262e0488a4e4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arvestReviewTable" displayName="HarvestReviewTable" ref="A1:M25" headerRowCount="1" totalsRowCount="0" totalsRowShown="0">
  <x:tableColumns count="13">
    <x:tableColumn id="1" name="Date"/>
    <x:tableColumn id="2" name="Cultivar"/>
    <x:tableColumn id="3" name="Repo weight (g)"/>
    <x:tableColumn id="4" name="Reviewed total (g)"/>
    <x:tableColumn id="5" name="Productive sites"/>
    <x:tableColumn id="6" name="Repo classification"/>
    <x:tableColumn id="7" name="Repo use"/>
    <x:tableColumn id="8" name="Reviewed category"/>
    <x:tableColumn id="9" name="Strict measured?"/>
    <x:tableColumn id="10" name="Steady-state Genovese cohort?"/>
    <x:tableColumn id="11" name="Reviewed g/site"/>
    <x:tableColumn id="12" name="Evidence / review note"/>
    <x:tableColumn id="13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stemInputsTable" displayName="SystemInputsTable" ref="A3:F27" headerRowCount="1" totalsRowCount="0" totalsRowShown="0">
  <x:tableColumns count="6">
    <x:tableColumn id="1" name="Parameter"/>
    <x:tableColumn id="2" name="Value"/>
    <x:tableColumn id="3" name="Unit"/>
    <x:tableColumn id="4" name="Basis"/>
    <x:tableColumn id="5" name="Source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stSummaryTable" displayName="CostSummaryTable" ref="A31:F40" headerRowCount="1" totalsRowCount="0" totalsRowShown="0">
  <x:tableColumns count="6">
    <x:tableColumn id="1" name="Cost bucket"/>
    <x:tableColumn id="2" name="Recorded cost ($)"/>
    <x:tableColumn id="3" name="Commercial treatment"/>
    <x:tableColumn id="4" name="Source"/>
    <x:tableColumn id="5" name="Formula / note"/>
    <x:tableColumn id="6" name="Column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LogTable" displayName="ReviewLogTable" ref="A3:F15" headerRowCount="1" totalsRowCount="0" totalsRowShown="0">
  <x:tableColumns count="6">
    <x:tableColumn id="1" name="Item"/>
    <x:tableColumn id="2" name="Source / repo value"/>
    <x:tableColumn id="3" name="Reviewed value"/>
    <x:tableColumn id="4" name="Action"/>
    <x:tableColumn id="5" name="Reason"/>
    <x:tableColumn id="6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6a8db6ea114c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60182e1302a4207" /><Relationship Type="http://schemas.openxmlformats.org/officeDocument/2006/relationships/table" Target="/xl/tables/table1.xml" Id="R4fce0db837a74f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c5eca599f943e6" /><Relationship Type="http://schemas.openxmlformats.org/officeDocument/2006/relationships/table" Target="/xl/tables/table3.xml" Id="R73510e0e014d47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327191c93444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db19ad252b284758" /></Relationships>
</file>

<file path=xl/worksheets/sheet1.xml><?xml version="1.0" encoding="utf-8"?>
<x:worksheet xmlns:x="http://schemas.openxmlformats.org/spreadsheetml/2006/main">
  <x:sheetFormatPr defaultRowHeight="15"/>
  <x:cols>
    <x:col min="2" max="2" width="18" hidden="0" customWidth="1"/>
    <x:col min="1" max="1" width="40" hidden="0" customWidth="1"/>
    <x:col min="3" max="3" width="54" hidden="0" customWidth="1"/>
    <x:col min="4" max="4" width="30" hidden="0" customWidth="1"/>
    <x:col min="5" max="5" width="3" hidden="0" customWidth="1"/>
    <x:col min="6" max="6" width="32" hidden="0" customWidth="1"/>
    <x:col min="7" max="7" width="18" hidden="0" customWidth="1"/>
    <x:col min="8" max="8" width="54" hidden="0" customWidth="1"/>
    <x:col min="10" max="10" width="14" hidden="0" customWidth="1"/>
    <x:col min="11" max="11" width="14" hidden="0" customWidth="1"/>
    <x:col min="12" max="12" width="12" hidden="0" customWidth="1"/>
  </x:cols>
  <x:sheetData>
    <x:row r="1" ht="26" customHeight="1">
      <x:c r="A1" s="34" t="str">
        <x:v>Garage Basil Growth Lab — Condensed Reviewed Dataset</x:v>
      </x:c>
      <x:c r="B1" s="34"/>
      <x:c r="C1" s="34"/>
      <x:c r="D1" s="34"/>
      <x:c r="E1" s="34"/>
      <x:c r="F1" s="34"/>
      <x:c r="G1" s="34"/>
      <x:c r="H1" s="34"/>
    </x:row>
    <x:row r="2" ht="18" customHeight="1">
      <x:c r="A2" s="62" t="str">
        <x:v>Frozen experiment evidence + reviewed analysis layer. Raw repo and original costing workbook remain unchanged.</x:v>
      </x:c>
      <x:c r="B2" s="62"/>
      <x:c r="C2" s="62"/>
      <x:c r="D2" s="62"/>
      <x:c r="E2" s="62"/>
      <x:c r="F2" s="62"/>
      <x:c r="G2" s="62"/>
      <x:c r="H2" s="62"/>
      <x:c r="J2" s="7" t="str">
        <x:v>Date</x:v>
      </x:c>
      <x:c r="K2" s="7" t="str">
        <x:v>Harvest (g)</x:v>
      </x:c>
      <x:c r="L2" s="7" t="str">
        <x:v>Sites</x:v>
      </x:c>
    </x:row>
    <x:row r="3" ht="18" customHeight="1">
      <x:c r="J3" s="82" t="str">
        <x:v>2026-07-11</x:v>
      </x:c>
      <x:c r="K3" s="79" t="n">
        <x:f>Harvests!D17</x:f>
        <x:v>460</x:v>
      </x:c>
      <x:c r="L3" s="79" t="n">
        <x:f>Harvests!E17</x:f>
        <x:v>51</x:v>
      </x:c>
    </x:row>
    <x:row r="4" ht="18" customHeight="1">
      <x:c r="A4" s="40" t="str">
        <x:v>Experiment / Production KPIs</x:v>
      </x:c>
      <x:c r="B4" s="40"/>
      <x:c r="C4" s="40"/>
      <x:c r="D4" s="40"/>
      <x:c r="F4" s="40" t="str">
        <x:v>Cost / Energy Snapshot</x:v>
      </x:c>
      <x:c r="G4" s="40"/>
      <x:c r="H4" s="40"/>
      <x:c r="J4" s="82" t="str">
        <x:v>2026-07-22</x:v>
      </x:c>
      <x:c r="K4" s="79" t="n">
        <x:f>Harvests!D16</x:f>
        <x:v>436</x:v>
      </x:c>
      <x:c r="L4" s="79" t="n">
        <x:f>Harvests!E16</x:f>
        <x:v>51</x:v>
      </x:c>
    </x:row>
    <x:row r="5" ht="18" customHeight="1">
      <x:c r="A5" s="7" t="str">
        <x:v>Metric</x:v>
      </x:c>
      <x:c r="B5" s="7" t="str">
        <x:v>Value</x:v>
      </x:c>
      <x:c r="C5" s="7" t="str">
        <x:v>Unit / interpretation</x:v>
      </x:c>
      <x:c r="D5" s="7" t="str">
        <x:v>Source</x:v>
      </x:c>
      <x:c r="F5" s="7" t="str">
        <x:v>Metric</x:v>
      </x:c>
      <x:c r="G5" s="7" t="str">
        <x:v>Value</x:v>
      </x:c>
      <x:c r="H5" s="7" t="str">
        <x:v>Interpretation</x:v>
      </x:c>
      <x:c r="J5" s="82" t="str">
        <x:v>2026-08-04</x:v>
      </x:c>
      <x:c r="K5" s="79" t="n">
        <x:f>Harvests!D11</x:f>
        <x:v>309</x:v>
      </x:c>
      <x:c r="L5" s="79" t="n">
        <x:f>Harvests!E11</x:f>
        <x:v>51</x:v>
      </x:c>
    </x:row>
    <x:row r="6" ht="26" customHeight="1">
      <x:c r="A6" s="12" t="str">
        <x:v>Experiment start</x:v>
      </x:c>
      <x:c r="B6" s="22" t="n">
        <x:v>46110</x:v>
      </x:c>
      <x:c r="C6" s="12" t="str">
        <x:v>date</x:v>
      </x:c>
      <x:c r="D6" s="12" t="str">
        <x:v>garage-vision closeout</x:v>
      </x:c>
      <x:c r="F6" s="12" t="str">
        <x:v>Pilot production hardware</x:v>
      </x:c>
      <x:c r="G6" s="74" t="n">
        <x:f>'System &amp; Costs'!B38</x:f>
        <x:v>607.48</x:v>
      </x:c>
      <x:c r="H6" s="12" t="str">
        <x:v>Per-shelf + shared rack hardware only</x:v>
      </x:c>
      <x:c r="J6" s="82" t="str">
        <x:v>2026-08-14</x:v>
      </x:c>
      <x:c r="K6" s="79" t="n">
        <x:f>Harvests!D9</x:f>
        <x:v>324</x:v>
      </x:c>
      <x:c r="L6" s="79" t="n">
        <x:f>Harvests!E9</x:f>
        <x:v>51</x:v>
      </x:c>
    </x:row>
    <x:row r="7" ht="26" customHeight="1">
      <x:c r="A7" s="12" t="str">
        <x:v>Experiment end</x:v>
      </x:c>
      <x:c r="B7" s="22" t="n">
        <x:v>46282</x:v>
      </x:c>
      <x:c r="C7" s="12" t="str">
        <x:v>date</x:v>
      </x:c>
      <x:c r="D7" s="12" t="str">
        <x:v>garage-vision closeout</x:v>
      </x:c>
      <x:c r="F7" s="12" t="str">
        <x:v>Total pilot cash outlay</x:v>
      </x:c>
      <x:c r="G7" s="74" t="n">
        <x:f>'System &amp; Costs'!B39</x:f>
        <x:v>818.4599999999999</x:v>
      </x:c>
      <x:c r="H7" s="12" t="str">
        <x:v>Includes tools, propagation, chemicals, sensors/timers</x:v>
      </x:c>
      <x:c r="J7" s="82" t="str">
        <x:v>2026-08-23</x:v>
      </x:c>
      <x:c r="K7" s="79" t="n">
        <x:f>Harvests!D8</x:f>
        <x:v>274</x:v>
      </x:c>
      <x:c r="L7" s="79" t="n">
        <x:f>Harvests!E8</x:f>
        <x:v>51</x:v>
      </x:c>
    </x:row>
    <x:row r="8" ht="26" customHeight="1">
      <x:c r="A8" s="12" t="str">
        <x:v>Pilot nominal sites</x:v>
      </x:c>
      <x:c r="B8" s="72" t="n">
        <x:f>'System &amp; Costs'!B7</x:f>
        <x:v>76</x:v>
      </x:c>
      <x:c r="C8" s="12" t="str">
        <x:v>sites</x:v>
      </x:c>
      <x:c r="D8" s="12" t="str">
        <x:v>System &amp; Costs</x:v>
      </x:c>
      <x:c r="F8" s="12" t="str">
        <x:v>Full-rack hardware (linearized)</x:v>
      </x:c>
      <x:c r="G8" s="74" t="n">
        <x:f>'System &amp; Costs'!B40</x:f>
        <x:v>1087.405</x:v>
      </x:c>
      <x:c r="H8" s="12" t="str">
        <x:v>Shared rack + 2.5× shelf subtotal; not pack-rounded</x:v>
      </x:c>
      <x:c r="J8" s="82" t="str">
        <x:v>2026-09-07</x:v>
      </x:c>
      <x:c r="K8" s="79" t="n">
        <x:f>Harvests!D5</x:f>
        <x:v>338</x:v>
      </x:c>
      <x:c r="L8" s="79" t="n">
        <x:f>Harvests!E5</x:f>
        <x:v>51</x:v>
      </x:c>
    </x:row>
    <x:row r="9" ht="26" customHeight="1">
      <x:c r="A9" s="12" t="str">
        <x:v>Full-rack nominal sites</x:v>
      </x:c>
      <x:c r="B9" s="72" t="n">
        <x:f>'System &amp; Costs'!B9</x:f>
        <x:v>190</x:v>
      </x:c>
      <x:c r="C9" s="12" t="str">
        <x:v>sites</x:v>
      </x:c>
      <x:c r="D9" s="12" t="str">
        <x:v>System &amp; Costs</x:v>
      </x:c>
      <x:c r="F9" s="12" t="str">
        <x:v>Pilot lighting load</x:v>
      </x:c>
      <x:c r="G9" s="72" t="n">
        <x:f>'System &amp; Costs'!B19</x:f>
        <x:v>76</x:v>
      </x:c>
      <x:c r="H9" s="12" t="str">
        <x:v>W</x:v>
      </x:c>
    </x:row>
    <x:row r="10" ht="34" customHeight="1">
      <x:c r="A10" s="12" t="str">
        <x:v>Repo total recorded biomass</x:v>
      </x:c>
      <x:c r="B10" s="56" t="n">
        <x:v>3472</x:v>
      </x:c>
      <x:c r="C10" s="12" t="str">
        <x:v>g; includes trims + estimated early prune</x:v>
      </x:c>
      <x:c r="D10" s="12" t="str">
        <x:v>garage-vision final bundle</x:v>
      </x:c>
      <x:c r="F10" s="12" t="str">
        <x:v>Pump load proxy</x:v>
      </x:c>
      <x:c r="G10" s="72" t="n">
        <x:f>'System &amp; Costs'!B23</x:f>
        <x:v>27.6</x:v>
      </x:c>
      <x:c r="H10" s="12" t="str">
        <x:v>W proxy from nameplate VA, not measured real power</x:v>
      </x:c>
    </x:row>
    <x:row r="11" ht="34" customHeight="1">
      <x:c r="A11" s="12" t="str">
        <x:v>Reviewed intentional production total</x:v>
      </x:c>
      <x:c r="B11" s="72" t="n">
        <x:f>SUMIFS(Harvests!$D$2:$D$25,Harvests!$H$2:$H$25,"Intentional production")</x:f>
        <x:v>3346</x:v>
      </x:c>
      <x:c r="C11" s="12" t="str">
        <x:v>g; includes 42 g reviewed June 7 total</x:v>
      </x:c>
      <x:c r="D11" s="12" t="str">
        <x:v>Harvests</x:v>
      </x:c>
      <x:c r="F11" s="12" t="str">
        <x:v>Fan max rated load</x:v>
      </x:c>
      <x:c r="G11" s="72" t="n">
        <x:f>'System &amp; Costs'!B25</x:f>
        <x:v>12</x:v>
      </x:c>
      <x:c r="H11" s="12" t="str">
        <x:v>W</x:v>
      </x:c>
    </x:row>
    <x:row r="12" ht="34" customHeight="1">
      <x:c r="A12" s="12" t="str">
        <x:v>Strict measured production total</x:v>
      </x:c>
      <x:c r="B12" s="72" t="n">
        <x:f>SUMIFS(Harvests!$D$2:$D$25,Harvests!$I$2:$I$25,"Yes")</x:f>
        <x:v>3304</x:v>
      </x:c>
      <x:c r="C12" s="12" t="str">
        <x:v>g; excludes June 7 partly-estimated total + May 20 estimate + maintenance</x:v>
      </x:c>
      <x:c r="D12" s="12" t="str">
        <x:v>Harvests</x:v>
      </x:c>
      <x:c r="F12" s="12" t="str">
        <x:v>Pilot modeled daily electricity</x:v>
      </x:c>
      <x:c r="G12" s="72" t="n">
        <x:f>'System &amp; Costs'!B27</x:f>
        <x:v>2.1664</x:v>
      </x:c>
      <x:c r="H12" s="12" t="str">
        <x:v>kWh/day; conservative proxy</x:v>
      </x:c>
    </x:row>
    <x:row r="13" ht="26" customHeight="1">
      <x:c r="A13" s="12" t="str">
        <x:v>Maintenance-trim biomass</x:v>
      </x:c>
      <x:c r="B13" s="72" t="n">
        <x:f>SUMIFS(Harvests!$D$2:$D$25,Harvests!$H$2:$H$25,"Maintenance / trim")</x:f>
        <x:v>110</x:v>
      </x:c>
      <x:c r="C13" s="12" t="str">
        <x:v>g</x:v>
      </x:c>
      <x:c r="D13" s="12" t="str">
        <x:v>Harvests</x:v>
      </x:c>
      <x:c r="F13" s="12" t="str">
        <x:v>Pilot modeled annual electricity</x:v>
      </x:c>
      <x:c r="G13" s="57" t="n">
        <x:f>G12*365</x:f>
        <x:v>790.736</x:v>
      </x:c>
      <x:c r="H13" s="12" t="str">
        <x:v>kWh/year</x:v>
      </x:c>
    </x:row>
    <x:row r="14" ht="26" customHeight="1">
      <x:c r="A14" s="12" t="str">
        <x:v>Steady-state Genovese cohort harvests</x:v>
      </x:c>
      <x:c r="B14" s="72" t="n">
        <x:f>COUNTIF(Harvests!$J$2:$J$25,"Yes")</x:f>
        <x:v>6</x:v>
      </x:c>
      <x:c r="C14" s="12" t="str">
        <x:v>events</x:v>
      </x:c>
      <x:c r="D14" s="12" t="str">
        <x:v>Harvests</x:v>
      </x:c>
      <x:c r="F14" s="12"/>
      <x:c r="G14" s="12"/>
      <x:c r="H14" s="12"/>
    </x:row>
    <x:row r="15" ht="26" customHeight="1">
      <x:c r="A15" s="12" t="str">
        <x:v>Steady-state cohort mean harvest</x:v>
      </x:c>
      <x:c r="B15" s="72" t="n">
        <x:f>SUMIFS(Harvests!$D$2:$D$25,Harvests!$J$2:$J$25,"Yes")/B14</x:f>
        <x:v>356.8333333333333</x:v>
      </x:c>
      <x:c r="C15" s="12" t="str">
        <x:v>g/event</x:v>
      </x:c>
      <x:c r="D15" s="12" t="str">
        <x:v>Harvests</x:v>
      </x:c>
      <x:c r="F15" s="12"/>
      <x:c r="G15" s="12"/>
      <x:c r="H15" s="12"/>
    </x:row>
    <x:row r="16" ht="32" customHeight="1">
      <x:c r="A16" s="12" t="str">
        <x:v>Steady-state cohort mean harvest yield</x:v>
      </x:c>
      <x:c r="B16" s="72" t="n">
        <x:f>SUMIFS(Harvests!$D$2:$D$25,Harvests!$J$2:$J$25,"Yes")/SUMIFS(Harvests!$E$2:$E$25,Harvests!$J$2:$J$25,"Yes")</x:f>
        <x:v>6.996732026143791</x:v>
      </x:c>
      <x:c r="C16" s="12" t="str">
        <x:v>g/productive site/event</x:v>
      </x:c>
      <x:c r="D16" s="12" t="str">
        <x:v>Harvests</x:v>
      </x:c>
      <x:c r="F16" s="66" t="str">
        <x:v>Economics Inputs — intentionally blank until reviewed</x:v>
      </x:c>
      <x:c r="G16" s="66"/>
      <x:c r="H16" s="66"/>
    </x:row>
    <x:row r="17" ht="32" customHeight="1">
      <x:c r="A17" s="12" t="str">
        <x:v>Repeat-cycle observed period</x:v>
      </x:c>
      <x:c r="B17" s="56" t="n">
        <x:v>58</x:v>
      </x:c>
      <x:c r="C17" s="12" t="str">
        <x:v>days between Jul 11 and Sep 7; rates use subsequent 5 harvests</x:v>
      </x:c>
      <x:c r="D17" s="12" t="str">
        <x:v>Reviewed cohort</x:v>
      </x:c>
      <x:c r="F17" s="7" t="str">
        <x:v>Input</x:v>
      </x:c>
      <x:c r="G17" s="7" t="str">
        <x:v>Value</x:v>
      </x:c>
      <x:c r="H17" s="7" t="str">
        <x:v>Notes</x:v>
      </x:c>
    </x:row>
    <x:row r="18" ht="32" customHeight="1">
      <x:c r="A18" s="12" t="str">
        <x:v>Repeat-cycle biomass</x:v>
      </x:c>
      <x:c r="B18" s="56" t="n">
        <x:v>1681</x:v>
      </x:c>
      <x:c r="C18" s="12" t="str">
        <x:v>g; Jul 22 through Sep 7</x:v>
      </x:c>
      <x:c r="D18" s="12" t="str">
        <x:v>Reviewed cohort</x:v>
      </x:c>
      <x:c r="F18" s="12" t="str">
        <x:v>Commercial model</x:v>
      </x:c>
      <x:c r="G18" s="48"/>
      <x:c r="H18" s="12"/>
    </x:row>
    <x:row r="19" ht="26" customHeight="1">
      <x:c r="A19" s="12" t="str">
        <x:v>Repeat-cycle production rate</x:v>
      </x:c>
      <x:c r="B19" s="57" t="n">
        <x:f>B18/B17</x:f>
        <x:v>28.982758620689655</x:v>
      </x:c>
      <x:c r="C19" s="12" t="str">
        <x:v>g/day across ~51 productive Genovese sites</x:v>
      </x:c>
      <x:c r="D19" s="12" t="str">
        <x:v>Formula</x:v>
      </x:c>
      <x:c r="F19" s="12" t="str">
        <x:v>Owner income target</x:v>
      </x:c>
      <x:c r="G19" s="48" t="n">
        <x:v>36000</x:v>
      </x:c>
      <x:c r="H19" s="12" t="str">
        <x:v>$/year; $3,000/month</x:v>
      </x:c>
    </x:row>
    <x:row r="20" ht="26" customHeight="1">
      <x:c r="A20" s="12" t="str">
        <x:v>Repeat-cycle production rate/site</x:v>
      </x:c>
      <x:c r="B20" s="57" t="n">
        <x:f>B19/51</x:f>
        <x:v>0.568289384719405</x:v>
      </x:c>
      <x:c r="C20" s="12" t="str">
        <x:v>g/site/day</x:v>
      </x:c>
      <x:c r="D20" s="12" t="str">
        <x:v>Formula</x:v>
      </x:c>
      <x:c r="F20" s="12" t="str">
        <x:v>Garage rack scenario</x:v>
      </x:c>
      <x:c r="G20" s="48" t="n">
        <x:v>6</x:v>
      </x:c>
      <x:c r="H20" s="12" t="str">
        <x:v>full 190-site racks</x:v>
      </x:c>
    </x:row>
    <x:row r="21" ht="34" customHeight="1">
      <x:c r="A21" s="12" t="str">
        <x:v>Full-occupancy pilot annualized production</x:v>
      </x:c>
      <x:c r="B21" s="57" t="n">
        <x:f>B20*B8*365/1000</x:f>
        <x:v>15.764347532116295</x:v>
      </x:c>
      <x:c r="C21" s="12" t="str">
        <x:v>kg/year at 76 sites; scenario, not observed annual output</x:v>
      </x:c>
      <x:c r="D21" s="12" t="str">
        <x:v>Formula</x:v>
      </x:c>
      <x:c r="F21" s="12" t="str">
        <x:v>Current external sweet-basil reference</x:v>
      </x:c>
      <x:c r="G21" s="48" t="n">
        <x:v>16.95</x:v>
      </x:c>
      <x:c r="H21" s="12" t="str">
        <x:v>$/lb; editable scenario</x:v>
      </x:c>
    </x:row>
    <x:row r="22" ht="34" customHeight="1">
      <x:c r="A22" s="12" t="str">
        <x:v>Full-rack annualized production</x:v>
      </x:c>
      <x:c r="B22" s="57" t="n">
        <x:f>B20*B9*365/1000</x:f>
        <x:v>39.41086883029074</x:v>
      </x:c>
      <x:c r="C22" s="12" t="str">
        <x:v>kg/year at 190 sites; scenario, assumes same per-site rate</x:v>
      </x:c>
      <x:c r="D22" s="12" t="str">
        <x:v>Formula</x:v>
      </x:c>
      <x:c r="F22" s="12" t="str">
        <x:v>Economics sheet</x:v>
      </x:c>
      <x:c r="G22" s="48" t="str">
        <x:v>See Economics</x:v>
      </x:c>
      <x:c r="H22" s="12" t="str">
        <x:v>Garage-scale model + winter + labor</x:v>
      </x:c>
    </x:row>
    <x:row r="23" ht="18" customHeight="1">
      <x:c r="F23" s="12" t="str">
        <x:v>Sensitivity sheet</x:v>
      </x:c>
      <x:c r="G23" s="48" t="str">
        <x:v>See Sensitivity</x:v>
      </x:c>
      <x:c r="H23" s="12" t="str">
        <x:v>Required price/yield tradeoffs</x:v>
      </x:c>
    </x:row>
    <x:row r="24" ht="18" customHeight="1"/>
    <x:row r="25" ht="18" customHeight="1">
      <x:c r="A25" s="40" t="str">
        <x:v>Interpretation Notes</x:v>
      </x:c>
      <x:c r="B25" s="40"/>
      <x:c r="C25" s="40"/>
      <x:c r="D25" s="40"/>
      <x:c r="E25" s="40"/>
      <x:c r="F25" s="40"/>
      <x:c r="G25" s="40"/>
      <x:c r="H25" s="40"/>
    </x:row>
    <x:row r="26" ht="32" customHeight="1">
      <x:c r="A26" s="12" t="str">
        <x:v>1</x:v>
      </x:c>
      <x:c r="B26" s="12" t="str">
        <x:v>Raw evidence remains frozen. This workbook is a reviewed analysis layer, not a rewrite of source history.</x:v>
      </x:c>
      <x:c r="C26" s="12" t="str"/>
      <x:c r="D26" s="12" t="str"/>
      <x:c r="E26" s="12" t="str"/>
      <x:c r="F26" s="12" t="str"/>
      <x:c r="G26" s="12" t="str"/>
      <x:c r="H26" s="12" t="str"/>
    </x:row>
    <x:row r="27" ht="32" customHeight="1">
      <x:c r="A27" s="12" t="str">
        <x:v>2</x:v>
      </x:c>
      <x:c r="B27" s="12" t="str">
        <x:v>Small cultivar harvests are retained as intentional production. They are excluded only from the steady-state Genovese run-rate cohort.</x:v>
      </x:c>
      <x:c r="C27" s="12" t="str"/>
      <x:c r="D27" s="12" t="str"/>
      <x:c r="E27" s="12" t="str"/>
      <x:c r="F27" s="12" t="str"/>
      <x:c r="G27" s="12" t="str"/>
      <x:c r="H27" s="12" t="str"/>
    </x:row>
    <x:row r="28" ht="32" customHeight="1">
      <x:c r="A28" s="12" t="str">
        <x:v>3</x:v>
      </x:c>
      <x:c r="B28" s="12" t="str">
        <x:v>The Genovese repeat-cycle rate uses Jul 22–Sep 7 biomass (1,681 g) over 58 days following the Jul 11 cohort anchor, avoiding the first harvest's unknown preceding growth interval.</x:v>
      </x:c>
      <x:c r="C28" s="12" t="str"/>
      <x:c r="D28" s="12" t="str"/>
      <x:c r="E28" s="12" t="str"/>
      <x:c r="F28" s="12" t="str"/>
      <x:c r="G28" s="12" t="str"/>
      <x:c r="H28" s="12" t="str"/>
    </x:row>
    <x:row r="29" ht="32" customHeight="1">
      <x:c r="A29" s="12" t="str">
        <x:v>4</x:v>
      </x:c>
      <x:c r="B29" s="12" t="str">
        <x:v>Annualized 76-site and 190-site figures are capacity scenarios, not observed annual output. They assume the observed per-site repeat-cycle rate can be maintained at full occupancy.</x:v>
      </x:c>
      <x:c r="C29" s="12" t="str"/>
      <x:c r="D29" s="12" t="str"/>
      <x:c r="E29" s="12" t="str"/>
      <x:c r="F29" s="12" t="str"/>
      <x:c r="G29" s="12" t="str"/>
      <x:c r="H29" s="12" t="str"/>
    </x:row>
    <x:row r="30" ht="32" customHeight="1">
      <x:c r="A30" s="12" t="str">
        <x:v>5</x:v>
      </x:c>
      <x:c r="B30" s="12" t="str">
        <x:v>Electricity is modeled from rated/nameplate values because no energy meter was used. Fan power is maximum rated; pump uses V×A as a conservative proxy.</x:v>
      </x:c>
      <x:c r="C30" s="12" t="str"/>
      <x:c r="D30" s="12" t="str"/>
      <x:c r="E30" s="12" t="str"/>
      <x:c r="F30" s="12" t="str"/>
      <x:c r="G30" s="12" t="str"/>
      <x:c r="H30" s="12" t="str"/>
    </x:row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A1:H1"/>
    <x:mergeCell ref="A2:H2"/>
    <x:mergeCell ref="A4:D4"/>
    <x:mergeCell ref="F4:H4"/>
    <x:mergeCell ref="F16:H16"/>
    <x:mergeCell ref="A25:H25"/>
    <x:mergeCell ref="B26:H26"/>
    <x:mergeCell ref="B27:H27"/>
    <x:mergeCell ref="B28:H28"/>
    <x:mergeCell ref="B29:H29"/>
    <x:mergeCell ref="B30:H30"/>
  </x:mergeCells>
  <x:pageMargins left="0.7" right="0.7" top="0.75" bottom="0.75" header="0.3" footer="0.3"/>
  <x:drawing xmlns:r="http://schemas.openxmlformats.org/officeDocument/2006/relationships" r:id="R136a8db6ea114caf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6" hidden="0" customWidth="1"/>
    <x:col min="5" max="5" width="15" hidden="0" customWidth="1"/>
    <x:col min="6" max="6" width="20" hidden="0" customWidth="1"/>
    <x:col min="7" max="7" width="12" hidden="0" customWidth="1"/>
    <x:col min="8" max="8" width="23" hidden="0" customWidth="1"/>
    <x:col min="9" max="9" width="14" hidden="0" customWidth="1"/>
    <x:col min="10" max="10" width="22" hidden="0" customWidth="1"/>
    <x:col min="11" max="11" width="14" hidden="0" customWidth="1"/>
    <x:col min="12" max="12" width="52" hidden="0" customWidth="1"/>
    <x:col min="13" max="13" width="40" hidden="0" customWidth="1"/>
  </x:cols>
  <x:sheetData>
    <x:row r="1" ht="18" customHeight="1">
      <x:c r="A1" s="7" t="str">
        <x:v>Date</x:v>
      </x:c>
      <x:c r="B1" s="7" t="str">
        <x:v>Cultivar</x:v>
      </x:c>
      <x:c r="C1" s="7" t="str">
        <x:v>Repo weight (g)</x:v>
      </x:c>
      <x:c r="D1" s="7" t="str">
        <x:v>Reviewed total (g)</x:v>
      </x:c>
      <x:c r="E1" s="7" t="str">
        <x:v>Productive sites</x:v>
      </x:c>
      <x:c r="F1" s="7" t="str">
        <x:v>Repo classification</x:v>
      </x:c>
      <x:c r="G1" s="7" t="str">
        <x:v>Repo use</x:v>
      </x:c>
      <x:c r="H1" s="7" t="str">
        <x:v>Reviewed category</x:v>
      </x:c>
      <x:c r="I1" s="7" t="str">
        <x:v>Strict measured?</x:v>
      </x:c>
      <x:c r="J1" s="7" t="str">
        <x:v>Steady-state Genovese cohort?</x:v>
      </x:c>
      <x:c r="K1" s="7" t="str">
        <x:v>Reviewed g/site</x:v>
      </x:c>
      <x:c r="L1" s="7" t="str">
        <x:v>Evidence / review note</x:v>
      </x:c>
      <x:c r="M1" s="7" t="str">
        <x:v>Source</x:v>
      </x:c>
    </x:row>
    <x:row r="2" ht="18" customHeight="1">
      <x:c r="A2" s="22" t="n">
        <x:v>46275</x:v>
      </x:c>
      <x:c r="B2" s="23" t="str">
        <x:v>Opal basil</x:v>
      </x:c>
      <x:c r="C2" s="24" t="n">
        <x:v>8</x:v>
      </x:c>
      <x:c r="D2" s="24" t="n">
        <x:v>8</x:v>
      </x:c>
      <x:c r="E2" s="24" t="n">
        <x:v>3</x:v>
      </x:c>
      <x:c r="F2" s="23" t="str">
        <x:v>production_harvest</x:v>
      </x:c>
      <x:c r="G2" s="23" t="str">
        <x:v>other</x:v>
      </x:c>
      <x:c r="H2" s="23" t="str">
        <x:v>Intentional production</x:v>
      </x:c>
      <x:c r="I2" s="23" t="str">
        <x:v>Yes</x:v>
      </x:c>
      <x:c r="J2" s="23" t="str">
        <x:v>No</x:v>
      </x:c>
      <x:c r="K2" s="30" t="n">
        <x:f>IF(AND(ISNUMBER(D2),ISNUMBER(E2),E2&gt;0),D2/E2,"")</x:f>
        <x:v>2.6666666666666665</x:v>
      </x:c>
      <x:c r="L2" s="23" t="str">
        <x:v>Intentional cultivar harvest; operator confirmed.</x:v>
      </x:c>
      <x:c r="M2" s="23" t="str">
        <x:v>garage-vision final_2026-09.md + operator clarification 2026-09-17</x:v>
      </x:c>
    </x:row>
    <x:row r="3" ht="18" customHeight="1">
      <x:c r="A3" s="22" t="n">
        <x:v>46275</x:v>
      </x:c>
      <x:c r="B3" s="23" t="str">
        <x:v>Thai basil</x:v>
      </x:c>
      <x:c r="C3" s="24" t="n">
        <x:v>27</x:v>
      </x:c>
      <x:c r="D3" s="24" t="n">
        <x:v>27</x:v>
      </x:c>
      <x:c r="E3" s="24" t="n">
        <x:v>1</x:v>
      </x:c>
      <x:c r="F3" s="23" t="str">
        <x:v>production_harvest</x:v>
      </x:c>
      <x:c r="G3" s="23" t="str">
        <x:v>other</x:v>
      </x:c>
      <x:c r="H3" s="23" t="str">
        <x:v>Intentional production</x:v>
      </x:c>
      <x:c r="I3" s="23" t="str">
        <x:v>Yes</x:v>
      </x:c>
      <x:c r="J3" s="23" t="str">
        <x:v>No</x:v>
      </x:c>
      <x:c r="K3" s="30" t="n">
        <x:f>IF(AND(ISNUMBER(D3),ISNUMBER(E3),E3&gt;0),D3/E3,"")</x:f>
        <x:v>27</x:v>
      </x:c>
      <x:c r="L3" s="23" t="str">
        <x:v>Intentional cultivar harvest; operator confirmed.</x:v>
      </x:c>
      <x:c r="M3" s="23" t="str">
        <x:v>garage-vision final_2026-09.md + operator clarification 2026-09-17</x:v>
      </x:c>
    </x:row>
    <x:row r="4" ht="18" customHeight="1">
      <x:c r="A4" s="22" t="n">
        <x:v>46275</x:v>
      </x:c>
      <x:c r="B4" s="23" t="str">
        <x:v>Holy basil</x:v>
      </x:c>
      <x:c r="C4" s="24" t="n">
        <x:v>39</x:v>
      </x:c>
      <x:c r="D4" s="24" t="n">
        <x:v>39</x:v>
      </x:c>
      <x:c r="E4" s="24" t="n">
        <x:v>3</x:v>
      </x:c>
      <x:c r="F4" s="23" t="str">
        <x:v>production_harvest</x:v>
      </x:c>
      <x:c r="G4" s="23" t="str">
        <x:v>other</x:v>
      </x:c>
      <x:c r="H4" s="23" t="str">
        <x:v>Intentional production</x:v>
      </x:c>
      <x:c r="I4" s="23" t="str">
        <x:v>Yes</x:v>
      </x:c>
      <x:c r="J4" s="23" t="str">
        <x:v>No</x:v>
      </x:c>
      <x:c r="K4" s="30" t="n">
        <x:f>IF(AND(ISNUMBER(D4),ISNUMBER(E4),E4&gt;0),D4/E4,"")</x:f>
        <x:v>13</x:v>
      </x:c>
      <x:c r="L4" s="23" t="str">
        <x:v>Intentional cultivar harvest; operator confirmed.</x:v>
      </x:c>
      <x:c r="M4" s="23" t="str">
        <x:v>garage-vision final_2026-09.md + operator clarification 2026-09-17</x:v>
      </x:c>
    </x:row>
    <x:row r="5" ht="18" customHeight="1">
      <x:c r="A5" s="22" t="n">
        <x:v>46272</x:v>
      </x:c>
      <x:c r="B5" s="23" t="str">
        <x:v>Genovese basil</x:v>
      </x:c>
      <x:c r="C5" s="24" t="n">
        <x:v>338</x:v>
      </x:c>
      <x:c r="D5" s="24" t="n">
        <x:v>338</x:v>
      </x:c>
      <x:c r="E5" s="24" t="n">
        <x:v>51</x:v>
      </x:c>
      <x:c r="F5" s="23" t="str">
        <x:v>production_harvest</x:v>
      </x:c>
      <x:c r="G5" s="23" t="str">
        <x:v>other</x:v>
      </x:c>
      <x:c r="H5" s="23" t="str">
        <x:v>Intentional production</x:v>
      </x:c>
      <x:c r="I5" s="23" t="str">
        <x:v>Yes</x:v>
      </x:c>
      <x:c r="J5" s="23" t="str">
        <x:v>Yes</x:v>
      </x:c>
      <x:c r="K5" s="30" t="n">
        <x:f>IF(AND(ISNUMBER(D5),ISNUMBER(E5),E5&gt;0),D5/E5,"")</x:f>
        <x:v>6.627450980392157</x:v>
      </x:c>
      <x:c r="L5" s="23" t="str">
        <x:v>Normal production harvest from ~51 Genovese plants; operator confirmed.</x:v>
      </x:c>
      <x:c r="M5" s="23" t="str">
        <x:v>garage-vision final_2026-09.md + operator clarification 2026-09-17</x:v>
      </x:c>
    </x:row>
    <x:row r="6" ht="18" customHeight="1">
      <x:c r="A6" s="22" t="n">
        <x:v>46260</x:v>
      </x:c>
      <x:c r="B6" s="23" t="str">
        <x:v>Opal basil</x:v>
      </x:c>
      <x:c r="C6" s="24" t="n">
        <x:v>16</x:v>
      </x:c>
      <x:c r="D6" s="24" t="n">
        <x:v>16</x:v>
      </x:c>
      <x:c r="E6" s="24" t="n">
        <x:v>3</x:v>
      </x:c>
      <x:c r="F6" s="23" t="str">
        <x:v>production_harvest</x:v>
      </x:c>
      <x:c r="G6" s="23" t="str">
        <x:v>other</x:v>
      </x:c>
      <x:c r="H6" s="23" t="str">
        <x:v>Intentional production</x:v>
      </x:c>
      <x:c r="I6" s="23" t="str">
        <x:v>Yes</x:v>
      </x:c>
      <x:c r="J6" s="23" t="str">
        <x:v>No</x:v>
      </x:c>
      <x:c r="K6" s="30" t="n">
        <x:f>IF(AND(ISNUMBER(D6),ISNUMBER(E6),E6&gt;0),D6/E6,"")</x:f>
        <x:v>5.333333333333333</x:v>
      </x:c>
      <x:c r="L6" s="23" t="str">
        <x:v>Intentional cultivar harvest; operator confirmed.</x:v>
      </x:c>
      <x:c r="M6" s="23" t="str">
        <x:v>garage-vision final_2026-09.md + operator clarification 2026-09-17</x:v>
      </x:c>
    </x:row>
    <x:row r="7" ht="18" customHeight="1">
      <x:c r="A7" s="22" t="n">
        <x:v>46260</x:v>
      </x:c>
      <x:c r="B7" s="23" t="str">
        <x:v>Holy basil</x:v>
      </x:c>
      <x:c r="C7" s="24" t="n">
        <x:v>24</x:v>
      </x:c>
      <x:c r="D7" s="24" t="n">
        <x:v>24</x:v>
      </x:c>
      <x:c r="E7" s="24" t="n">
        <x:v>3</x:v>
      </x:c>
      <x:c r="F7" s="23" t="str">
        <x:v>production_harvest</x:v>
      </x:c>
      <x:c r="G7" s="23" t="str">
        <x:v>other</x:v>
      </x:c>
      <x:c r="H7" s="23" t="str">
        <x:v>Intentional production</x:v>
      </x:c>
      <x:c r="I7" s="23" t="str">
        <x:v>Yes</x:v>
      </x:c>
      <x:c r="J7" s="23" t="str">
        <x:v>No</x:v>
      </x:c>
      <x:c r="K7" s="30" t="n">
        <x:f>IF(AND(ISNUMBER(D7),ISNUMBER(E7),E7&gt;0),D7/E7,"")</x:f>
        <x:v>8</x:v>
      </x:c>
      <x:c r="L7" s="23" t="str">
        <x:v>Intentional cultivar harvest; operator confirmed.</x:v>
      </x:c>
      <x:c r="M7" s="23" t="str">
        <x:v>garage-vision final_2026-09.md + operator clarification 2026-09-17</x:v>
      </x:c>
    </x:row>
    <x:row r="8" ht="18" customHeight="1">
      <x:c r="A8" s="22" t="n">
        <x:v>46257</x:v>
      </x:c>
      <x:c r="B8" s="23" t="str">
        <x:v>Genovese basil</x:v>
      </x:c>
      <x:c r="C8" s="24" t="n">
        <x:v>274</x:v>
      </x:c>
      <x:c r="D8" s="24" t="n">
        <x:v>274</x:v>
      </x:c>
      <x:c r="E8" s="24" t="n">
        <x:v>51</x:v>
      </x:c>
      <x:c r="F8" s="23" t="str">
        <x:v>production_harvest</x:v>
      </x:c>
      <x:c r="G8" s="23" t="str">
        <x:v>other</x:v>
      </x:c>
      <x:c r="H8" s="23" t="str">
        <x:v>Intentional production</x:v>
      </x:c>
      <x:c r="I8" s="23" t="str">
        <x:v>Yes</x:v>
      </x:c>
      <x:c r="J8" s="23" t="str">
        <x:v>Yes</x:v>
      </x:c>
      <x:c r="K8" s="30" t="n">
        <x:f>IF(AND(ISNUMBER(D8),ISNUMBER(E8),E8&gt;0),D8/E8,"")</x:f>
        <x:v>5.372549019607843</x:v>
      </x:c>
      <x:c r="L8" s="23" t="str">
        <x:v>Normal production harvest from ~51 Genovese plants; operator confirmed.</x:v>
      </x:c>
      <x:c r="M8" s="23" t="str">
        <x:v>garage-vision final_2026-09.md + operator clarification 2026-09-17</x:v>
      </x:c>
    </x:row>
    <x:row r="9" ht="18" customHeight="1">
      <x:c r="A9" s="22" t="n">
        <x:v>46248</x:v>
      </x:c>
      <x:c r="B9" s="23" t="str">
        <x:v>Genovese basil</x:v>
      </x:c>
      <x:c r="C9" s="24" t="n">
        <x:v>324</x:v>
      </x:c>
      <x:c r="D9" s="24" t="n">
        <x:v>324</x:v>
      </x:c>
      <x:c r="E9" s="24" t="n">
        <x:v>51</x:v>
      </x:c>
      <x:c r="F9" s="23" t="str">
        <x:v>production_harvest</x:v>
      </x:c>
      <x:c r="G9" s="23" t="str">
        <x:v>other</x:v>
      </x:c>
      <x:c r="H9" s="23" t="str">
        <x:v>Intentional production</x:v>
      </x:c>
      <x:c r="I9" s="23" t="str">
        <x:v>Yes</x:v>
      </x:c>
      <x:c r="J9" s="23" t="str">
        <x:v>Yes</x:v>
      </x:c>
      <x:c r="K9" s="30" t="n">
        <x:f>IF(AND(ISNUMBER(D9),ISNUMBER(E9),E9&gt;0),D9/E9,"")</x:f>
        <x:v>6.352941176470588</x:v>
      </x:c>
      <x:c r="L9" s="23" t="str">
        <x:v>Normal production harvest from ~51 Genovese plants; operator confirmed.</x:v>
      </x:c>
      <x:c r="M9" s="23" t="str">
        <x:v>garage-vision final_2026-09.md + operator clarification 2026-09-17</x:v>
      </x:c>
    </x:row>
    <x:row r="10" ht="18" customHeight="1">
      <x:c r="A10" s="22" t="n">
        <x:v>46242</x:v>
      </x:c>
      <x:c r="B10" s="23" t="str">
        <x:v>Mixed basil</x:v>
      </x:c>
      <x:c r="C10" s="24" t="n">
        <x:v>48</x:v>
      </x:c>
      <x:c r="D10" s="24" t="n">
        <x:v>48</x:v>
      </x:c>
      <x:c r="E10" s="24" t="n">
        <x:v>59</x:v>
      </x:c>
      <x:c r="F10" s="23" t="str">
        <x:v>maintenance_trim</x:v>
      </x:c>
      <x:c r="G10" s="23" t="str">
        <x:v>other</x:v>
      </x:c>
      <x:c r="H10" s="23" t="str">
        <x:v>Maintenance / trim</x:v>
      </x:c>
      <x:c r="I10" s="23" t="str">
        <x:v>No</x:v>
      </x:c>
      <x:c r="J10" s="23" t="str">
        <x:v>No</x:v>
      </x:c>
      <x:c r="K10" s="30" t="n">
        <x:f>IF(AND(ISNUMBER(D10),ISNUMBER(E10),E10&gt;0),D10/E10,"")</x:f>
        <x:v>0.8135593220338984</x:v>
      </x:c>
      <x:c r="L10" s="23" t="str">
        <x:v>Explicit maintenance trim in repo.</x:v>
      </x:c>
      <x:c r="M10" s="23" t="str">
        <x:v>garage-vision final_2026-09.md + operator clarification 2026-09-17</x:v>
      </x:c>
    </x:row>
    <x:row r="11" ht="18" customHeight="1">
      <x:c r="A11" s="22" t="n">
        <x:v>46238</x:v>
      </x:c>
      <x:c r="B11" s="23" t="str">
        <x:v>Genovese basil</x:v>
      </x:c>
      <x:c r="C11" s="24" t="n">
        <x:v>309</x:v>
      </x:c>
      <x:c r="D11" s="24" t="n">
        <x:v>309</x:v>
      </x:c>
      <x:c r="E11" s="24" t="n">
        <x:v>51</x:v>
      </x:c>
      <x:c r="F11" s="23" t="str">
        <x:v>production_harvest</x:v>
      </x:c>
      <x:c r="G11" s="23" t="str">
        <x:v>other</x:v>
      </x:c>
      <x:c r="H11" s="23" t="str">
        <x:v>Intentional production</x:v>
      </x:c>
      <x:c r="I11" s="23" t="str">
        <x:v>Yes</x:v>
      </x:c>
      <x:c r="J11" s="23" t="str">
        <x:v>Yes</x:v>
      </x:c>
      <x:c r="K11" s="30" t="n">
        <x:f>IF(AND(ISNUMBER(D11),ISNUMBER(E11),E11&gt;0),D11/E11,"")</x:f>
        <x:v>6.0588235294117645</x:v>
      </x:c>
      <x:c r="L11" s="23" t="str">
        <x:v>Normal production harvest from ~51 Genovese plants; operator confirmed.</x:v>
      </x:c>
      <x:c r="M11" s="23" t="str">
        <x:v>garage-vision final_2026-09.md + operator clarification 2026-09-17</x:v>
      </x:c>
    </x:row>
    <x:row r="12" ht="18" customHeight="1">
      <x:c r="A12" s="22" t="n">
        <x:v>46227</x:v>
      </x:c>
      <x:c r="B12" s="23" t="str">
        <x:v>Thai basil</x:v>
      </x:c>
      <x:c r="C12" s="24" t="n">
        <x:v>16</x:v>
      </x:c>
      <x:c r="D12" s="24" t="n">
        <x:v>16</x:v>
      </x:c>
      <x:c r="E12" s="24" t="n">
        <x:v>1</x:v>
      </x:c>
      <x:c r="F12" s="23" t="str">
        <x:v>production_harvest</x:v>
      </x:c>
      <x:c r="G12" s="23" t="str">
        <x:v>other</x:v>
      </x:c>
      <x:c r="H12" s="23" t="str">
        <x:v>Intentional production</x:v>
      </x:c>
      <x:c r="I12" s="23" t="str">
        <x:v>Yes</x:v>
      </x:c>
      <x:c r="J12" s="23" t="str">
        <x:v>No</x:v>
      </x:c>
      <x:c r="K12" s="30" t="n">
        <x:f>IF(AND(ISNUMBER(D12),ISNUMBER(E12),E12&gt;0),D12/E12,"")</x:f>
        <x:v>16</x:v>
      </x:c>
      <x:c r="L12" s="23" t="str">
        <x:v>Intentional cultivar harvest; operator confirmed.</x:v>
      </x:c>
      <x:c r="M12" s="23" t="str">
        <x:v>garage-vision final_2026-09.md + operator clarification 2026-09-17</x:v>
      </x:c>
    </x:row>
    <x:row r="13" ht="18" customHeight="1">
      <x:c r="A13" s="22" t="n">
        <x:v>46227</x:v>
      </x:c>
      <x:c r="B13" s="23" t="str">
        <x:v>Opal basil</x:v>
      </x:c>
      <x:c r="C13" s="24" t="n">
        <x:v>10</x:v>
      </x:c>
      <x:c r="D13" s="24" t="n">
        <x:v>10</x:v>
      </x:c>
      <x:c r="E13" s="24" t="n">
        <x:v>3</x:v>
      </x:c>
      <x:c r="F13" s="23" t="str">
        <x:v>production_harvest</x:v>
      </x:c>
      <x:c r="G13" s="23" t="str">
        <x:v>other</x:v>
      </x:c>
      <x:c r="H13" s="23" t="str">
        <x:v>Intentional production</x:v>
      </x:c>
      <x:c r="I13" s="23" t="str">
        <x:v>Yes</x:v>
      </x:c>
      <x:c r="J13" s="23" t="str">
        <x:v>No</x:v>
      </x:c>
      <x:c r="K13" s="30" t="n">
        <x:f>IF(AND(ISNUMBER(D13),ISNUMBER(E13),E13&gt;0),D13/E13,"")</x:f>
        <x:v>3.3333333333333335</x:v>
      </x:c>
      <x:c r="L13" s="23" t="str">
        <x:v>Intentional cultivar harvest; operator confirmed.</x:v>
      </x:c>
      <x:c r="M13" s="23" t="str">
        <x:v>garage-vision final_2026-09.md + operator clarification 2026-09-17</x:v>
      </x:c>
    </x:row>
    <x:row r="14" ht="18" customHeight="1">
      <x:c r="A14" s="22" t="n">
        <x:v>46227</x:v>
      </x:c>
      <x:c r="B14" s="23" t="str">
        <x:v>Holy basil</x:v>
      </x:c>
      <x:c r="C14" s="24" t="n">
        <x:v>48</x:v>
      </x:c>
      <x:c r="D14" s="24" t="n">
        <x:v>48</x:v>
      </x:c>
      <x:c r="E14" s="24" t="n">
        <x:v>3</x:v>
      </x:c>
      <x:c r="F14" s="23" t="str">
        <x:v>production_harvest</x:v>
      </x:c>
      <x:c r="G14" s="23" t="str">
        <x:v>other</x:v>
      </x:c>
      <x:c r="H14" s="23" t="str">
        <x:v>Intentional production</x:v>
      </x:c>
      <x:c r="I14" s="23" t="str">
        <x:v>Yes</x:v>
      </x:c>
      <x:c r="J14" s="23" t="str">
        <x:v>No</x:v>
      </x:c>
      <x:c r="K14" s="30" t="n">
        <x:f>IF(AND(ISNUMBER(D14),ISNUMBER(E14),E14&gt;0),D14/E14,"")</x:f>
        <x:v>16</x:v>
      </x:c>
      <x:c r="L14" s="23" t="str">
        <x:v>Intentional cultivar harvest; operator confirmed.</x:v>
      </x:c>
      <x:c r="M14" s="23" t="str">
        <x:v>garage-vision final_2026-09.md + operator clarification 2026-09-17</x:v>
      </x:c>
    </x:row>
    <x:row r="15" ht="18" customHeight="1">
      <x:c r="A15" s="22" t="n">
        <x:v>46225</x:v>
      </x:c>
      <x:c r="B15" s="23" t="str">
        <x:v>Greek basil</x:v>
      </x:c>
      <x:c r="C15" s="24" t="n">
        <x:v>28</x:v>
      </x:c>
      <x:c r="D15" s="24" t="n">
        <x:v>28</x:v>
      </x:c>
      <x:c r="E15" s="24" t="n">
        <x:v>3</x:v>
      </x:c>
      <x:c r="F15" s="23" t="str">
        <x:v>production_harvest</x:v>
      </x:c>
      <x:c r="G15" s="23" t="str">
        <x:v>other</x:v>
      </x:c>
      <x:c r="H15" s="23" t="str">
        <x:v>Intentional production</x:v>
      </x:c>
      <x:c r="I15" s="23" t="str">
        <x:v>Yes</x:v>
      </x:c>
      <x:c r="J15" s="23" t="str">
        <x:v>No</x:v>
      </x:c>
      <x:c r="K15" s="30" t="n">
        <x:f>IF(AND(ISNUMBER(D15),ISNUMBER(E15),E15&gt;0),D15/E15,"")</x:f>
        <x:v>9.333333333333334</x:v>
      </x:c>
      <x:c r="L15" s="23" t="str">
        <x:v>Intentional cultivar harvest; operator confirmed.</x:v>
      </x:c>
      <x:c r="M15" s="23" t="str">
        <x:v>garage-vision final_2026-09.md + operator clarification 2026-09-17</x:v>
      </x:c>
    </x:row>
    <x:row r="16" ht="18" customHeight="1">
      <x:c r="A16" s="22" t="n">
        <x:v>46225</x:v>
      </x:c>
      <x:c r="B16" s="23" t="str">
        <x:v>Genovese basil</x:v>
      </x:c>
      <x:c r="C16" s="24" t="n">
        <x:v>436</x:v>
      </x:c>
      <x:c r="D16" s="24" t="n">
        <x:v>436</x:v>
      </x:c>
      <x:c r="E16" s="24" t="n">
        <x:v>51</x:v>
      </x:c>
      <x:c r="F16" s="23" t="str">
        <x:v>production_harvest</x:v>
      </x:c>
      <x:c r="G16" s="23" t="str">
        <x:v>other</x:v>
      </x:c>
      <x:c r="H16" s="23" t="str">
        <x:v>Intentional production</x:v>
      </x:c>
      <x:c r="I16" s="23" t="str">
        <x:v>Yes</x:v>
      </x:c>
      <x:c r="J16" s="23" t="str">
        <x:v>Yes</x:v>
      </x:c>
      <x:c r="K16" s="30" t="n">
        <x:f>IF(AND(ISNUMBER(D16),ISNUMBER(E16),E16&gt;0),D16/E16,"")</x:f>
        <x:v>8.549019607843137</x:v>
      </x:c>
      <x:c r="L16" s="23" t="str">
        <x:v>Normal production harvest from ~51 Genovese plants; operator confirmed.</x:v>
      </x:c>
      <x:c r="M16" s="23" t="str">
        <x:v>garage-vision final_2026-09.md + operator clarification 2026-09-17</x:v>
      </x:c>
    </x:row>
    <x:row r="17" ht="18" customHeight="1">
      <x:c r="A17" s="22" t="n">
        <x:v>46214</x:v>
      </x:c>
      <x:c r="B17" s="23" t="str">
        <x:v>Genovese basil</x:v>
      </x:c>
      <x:c r="C17" s="24" t="n">
        <x:v>460</x:v>
      </x:c>
      <x:c r="D17" s="24" t="n">
        <x:v>460</x:v>
      </x:c>
      <x:c r="E17" s="24" t="n">
        <x:v>51</x:v>
      </x:c>
      <x:c r="F17" s="23" t="str">
        <x:v>production_harvest</x:v>
      </x:c>
      <x:c r="G17" s="23" t="str">
        <x:v>production</x:v>
      </x:c>
      <x:c r="H17" s="23" t="str">
        <x:v>Intentional production</x:v>
      </x:c>
      <x:c r="I17" s="23" t="str">
        <x:v>Yes</x:v>
      </x:c>
      <x:c r="J17" s="23" t="str">
        <x:v>Yes</x:v>
      </x:c>
      <x:c r="K17" s="30" t="n">
        <x:f>IF(AND(ISNUMBER(D17),ISNUMBER(E17),E17&gt;0),D17/E17,"")</x:f>
        <x:v>9.019607843137255</x:v>
      </x:c>
      <x:c r="L17" s="23" t="str">
        <x:v>Explicit full production harvest.</x:v>
      </x:c>
      <x:c r="M17" s="23" t="str">
        <x:v>garage-vision final_2026-09.md + operator clarification 2026-09-17</x:v>
      </x:c>
    </x:row>
    <x:row r="18" ht="18" customHeight="1">
      <x:c r="A18" s="22" t="n">
        <x:v>46204</x:v>
      </x:c>
      <x:c r="B18" s="23" t="str">
        <x:v>Basil</x:v>
      </x:c>
      <x:c r="C18" s="24" t="n">
        <x:v>52</x:v>
      </x:c>
      <x:c r="D18" s="24" t="n">
        <x:v>52</x:v>
      </x:c>
      <x:c r="E18" s="24" t="n">
        <x:v>5</x:v>
      </x:c>
      <x:c r="F18" s="23" t="str">
        <x:v>maintenance_trim</x:v>
      </x:c>
      <x:c r="G18" s="23" t="str">
        <x:v>n/a</x:v>
      </x:c>
      <x:c r="H18" s="23" t="str">
        <x:v>Maintenance / trim</x:v>
      </x:c>
      <x:c r="I18" s="23" t="str">
        <x:v>No</x:v>
      </x:c>
      <x:c r="J18" s="23" t="str">
        <x:v>No</x:v>
      </x:c>
      <x:c r="K18" s="30" t="n">
        <x:f>IF(AND(ISNUMBER(D18),ISNUMBER(E18),E18&gt;0),D18/E18,"")</x:f>
        <x:v>10.4</x:v>
      </x:c>
      <x:c r="L18" s="23" t="str">
        <x:v>Oddball selective maintenance trim.</x:v>
      </x:c>
      <x:c r="M18" s="23" t="str">
        <x:v>garage-vision final_2026-09.md + operator clarification 2026-09-17</x:v>
      </x:c>
    </x:row>
    <x:row r="19" ht="18" customHeight="1">
      <x:c r="A19" s="22" t="n">
        <x:v>46203</x:v>
      </x:c>
      <x:c r="B19" s="23" t="str">
        <x:v>Mixed Genovese + Lemon basil</x:v>
      </x:c>
      <x:c r="C19" s="24" t="n">
        <x:v>340</x:v>
      </x:c>
      <x:c r="D19" s="24" t="n">
        <x:v>340</x:v>
      </x:c>
      <x:c r="E19" s="24" t="n">
        <x:v>52</x:v>
      </x:c>
      <x:c r="F19" s="23" t="str">
        <x:v>production_harvest</x:v>
      </x:c>
      <x:c r="G19" s="23" t="str">
        <x:v>production</x:v>
      </x:c>
      <x:c r="H19" s="23" t="str">
        <x:v>Intentional production</x:v>
      </x:c>
      <x:c r="I19" s="23" t="str">
        <x:v>Yes</x:v>
      </x:c>
      <x:c r="J19" s="23" t="str">
        <x:v>No</x:v>
      </x:c>
      <x:c r="K19" s="30" t="n">
        <x:f>IF(AND(ISNUMBER(D19),ISNUMBER(E19),E19&gt;0),D19/E19,"")</x:f>
        <x:v>6.538461538461538</x:v>
      </x:c>
      <x:c r="L19" s="23" t="str">
        <x:v>Production harvest, mixed cultivar; not used in steady-state Genovese cohort.</x:v>
      </x:c>
      <x:c r="M19" s="23" t="str">
        <x:v>garage-vision final_2026-09.md + operator clarification 2026-09-17</x:v>
      </x:c>
    </x:row>
    <x:row r="20" ht="18" customHeight="1">
      <x:c r="A20" s="22" t="n">
        <x:v>46197</x:v>
      </x:c>
      <x:c r="B20" s="23" t="str">
        <x:v>Holy basil</x:v>
      </x:c>
      <x:c r="C20" s="24" t="n">
        <x:v>10</x:v>
      </x:c>
      <x:c r="D20" s="24" t="n">
        <x:v>10</x:v>
      </x:c>
      <x:c r="E20" s="24"/>
      <x:c r="F20" s="23" t="str">
        <x:v>maintenance_trim</x:v>
      </x:c>
      <x:c r="G20" s="23" t="str">
        <x:v>tea</x:v>
      </x:c>
      <x:c r="H20" s="23" t="str">
        <x:v>Maintenance / trim</x:v>
      </x:c>
      <x:c r="I20" s="23" t="str">
        <x:v>No</x:v>
      </x:c>
      <x:c r="J20" s="23" t="str">
        <x:v>No</x:v>
      </x:c>
      <x:c r="K20" s="30" t="str">
        <x:f>IF(AND(ISNUMBER(D20),ISNUMBER(E20),E20&gt;0),D20/E20,"")</x:f>
      </x:c>
      <x:c r="L20" s="23" t="str">
        <x:v>Explicit maintenance trim.</x:v>
      </x:c>
      <x:c r="M20" s="23" t="str">
        <x:v>garage-vision final_2026-09.md + operator clarification 2026-09-17</x:v>
      </x:c>
    </x:row>
    <x:row r="21" ht="18" customHeight="1">
      <x:c r="A21" s="22" t="n">
        <x:v>46195</x:v>
      </x:c>
      <x:c r="B21" s="23" t="str">
        <x:v>Mixed basil</x:v>
      </x:c>
      <x:c r="C21" s="24" t="n">
        <x:v>241</x:v>
      </x:c>
      <x:c r="D21" s="24" t="n">
        <x:v>241</x:v>
      </x:c>
      <x:c r="E21" s="24" t="n">
        <x:v>41</x:v>
      </x:c>
      <x:c r="F21" s="23" t="str">
        <x:v>production_harvest</x:v>
      </x:c>
      <x:c r="G21" s="23" t="str">
        <x:v>n/a</x:v>
      </x:c>
      <x:c r="H21" s="23" t="str">
        <x:v>Intentional production</x:v>
      </x:c>
      <x:c r="I21" s="23" t="str">
        <x:v>Yes</x:v>
      </x:c>
      <x:c r="J21" s="23" t="str">
        <x:v>No</x:v>
      </x:c>
      <x:c r="K21" s="30" t="n">
        <x:f>IF(AND(ISNUMBER(D21),ISNUMBER(E21),E21&gt;0),D21/E21,"")</x:f>
        <x:v>5.878048780487805</x:v>
      </x:c>
      <x:c r="L21" s="23" t="str">
        <x:v>Cut-and-come-again height-control harvest; mixed crop.</x:v>
      </x:c>
      <x:c r="M21" s="23" t="str">
        <x:v>garage-vision final_2026-09.md + operator clarification 2026-09-17</x:v>
      </x:c>
    </x:row>
    <x:row r="22" ht="18" customHeight="1">
      <x:c r="A22" s="22" t="n">
        <x:v>46189</x:v>
      </x:c>
      <x:c r="B22" s="23" t="str">
        <x:v>Genovese basil</x:v>
      </x:c>
      <x:c r="C22" s="24" t="n">
        <x:v>257</x:v>
      </x:c>
      <x:c r="D22" s="24" t="n">
        <x:v>257</x:v>
      </x:c>
      <x:c r="E22" s="24" t="n">
        <x:v>38</x:v>
      </x:c>
      <x:c r="F22" s="23" t="str">
        <x:v>production_harvest</x:v>
      </x:c>
      <x:c r="G22" s="23" t="str">
        <x:v>pesto</x:v>
      </x:c>
      <x:c r="H22" s="23" t="str">
        <x:v>Intentional production</x:v>
      </x:c>
      <x:c r="I22" s="23" t="str">
        <x:v>Yes</x:v>
      </x:c>
      <x:c r="J22" s="23" t="str">
        <x:v>No</x:v>
      </x:c>
      <x:c r="K22" s="30" t="n">
        <x:f>IF(AND(ISNUMBER(D22),ISNUMBER(E22),E22&gt;0),D22/E22,"")</x:f>
        <x:v>6.7631578947368425</x:v>
      </x:c>
      <x:c r="L22" s="23" t="str">
        <x:v>Early cut-and-come-again production harvest.</x:v>
      </x:c>
      <x:c r="M22" s="23" t="str">
        <x:v>garage-vision final_2026-09.md + operator clarification 2026-09-17</x:v>
      </x:c>
    </x:row>
    <x:row r="23" ht="18" customHeight="1">
      <x:c r="A23" s="22" t="n">
        <x:v>46185</x:v>
      </x:c>
      <x:c r="B23" s="23" t="str">
        <x:v>Genovese basil</x:v>
      </x:c>
      <x:c r="C23" s="24" t="n">
        <x:v>109</x:v>
      </x:c>
      <x:c r="D23" s="24" t="n">
        <x:v>109</x:v>
      </x:c>
      <x:c r="E23" s="24" t="n">
        <x:v>39</x:v>
      </x:c>
      <x:c r="F23" s="23" t="str">
        <x:v>production_harvest</x:v>
      </x:c>
      <x:c r="G23" s="23" t="str">
        <x:v>pesto</x:v>
      </x:c>
      <x:c r="H23" s="23" t="str">
        <x:v>Intentional production</x:v>
      </x:c>
      <x:c r="I23" s="23" t="str">
        <x:v>Yes</x:v>
      </x:c>
      <x:c r="J23" s="23" t="str">
        <x:v>No</x:v>
      </x:c>
      <x:c r="K23" s="30" t="n">
        <x:f>IF(AND(ISNUMBER(D23),ISNUMBER(E23),E23&gt;0),D23/E23,"")</x:f>
        <x:v>2.7948717948717947</x:v>
      </x:c>
      <x:c r="L23" s="23" t="str">
        <x:v>Early full cut; before mature steady-state cohort.</x:v>
      </x:c>
      <x:c r="M23" s="23" t="str">
        <x:v>garage-vision final_2026-09.md + operator clarification 2026-09-17</x:v>
      </x:c>
    </x:row>
    <x:row r="24" ht="18" customHeight="1">
      <x:c r="A24" s="22" t="n">
        <x:v>46180</x:v>
      </x:c>
      <x:c r="B24" s="23" t="str">
        <x:v>Genovese basil</x:v>
      </x:c>
      <x:c r="C24" s="24" t="n">
        <x:v>38</x:v>
      </x:c>
      <x:c r="D24" s="24" t="n">
        <x:v>42</x:v>
      </x:c>
      <x:c r="E24" s="24" t="n">
        <x:v>39</x:v>
      </x:c>
      <x:c r="F24" s="23" t="str">
        <x:v>production_harvest</x:v>
      </x:c>
      <x:c r="G24" s="23" t="str">
        <x:v>pesto</x:v>
      </x:c>
      <x:c r="H24" s="23" t="str">
        <x:v>Intentional production</x:v>
      </x:c>
      <x:c r="I24" s="23" t="str">
        <x:v>No</x:v>
      </x:c>
      <x:c r="J24" s="23" t="str">
        <x:v>No</x:v>
      </x:c>
      <x:c r="K24" s="30" t="n">
        <x:f>IF(AND(ISNUMBER(D24),ISNUMBER(E24),E24&gt;0),D24/E24,"")</x:f>
        <x:v>1.0769230769230769</x:v>
      </x:c>
      <x:c r="L24" s="23" t="str">
        <x:v>38 g measured after neighbor sample; contemporaneous seed log says estimated total 40–45 g and 'Log yield as 42 g'. Reviewed total = 42 g; strict measured mass remains 38 g.</x:v>
      </x:c>
      <x:c r="M24" s="23" t="str">
        <x:v>garage-vision final_2026-09.md + operator clarification 2026-09-17</x:v>
      </x:c>
    </x:row>
    <x:row r="25" ht="18" customHeight="1">
      <x:c r="A25" s="22" t="n">
        <x:v>46162</x:v>
      </x:c>
      <x:c r="B25" s="23" t="str">
        <x:v>Genovese basil</x:v>
      </x:c>
      <x:c r="C25" s="24" t="n">
        <x:v>20</x:v>
      </x:c>
      <x:c r="D25" s="24" t="n">
        <x:v>20</x:v>
      </x:c>
      <x:c r="E25" s="24"/>
      <x:c r="F25" s="23" t="str">
        <x:v>unknown</x:v>
      </x:c>
      <x:c r="G25" s="23" t="str">
        <x:v>fresh use</x:v>
      </x:c>
      <x:c r="H25" s="23" t="str">
        <x:v>Estimated early prune</x:v>
      </x:c>
      <x:c r="I25" s="23" t="str">
        <x:v>No</x:v>
      </x:c>
      <x:c r="J25" s="23" t="str">
        <x:v>No</x:v>
      </x:c>
      <x:c r="K25" s="30" t="str">
        <x:f>IF(AND(ISNUMBER(D25),ISNUMBER(E25),E25&gt;0),D25/E25,"")</x:f>
      </x:c>
      <x:c r="L25" s="23" t="str">
        <x:v>Unweighed first prune estimated at ~20–30 g. Repo stores 20 g; not treated as measured yield.</x:v>
      </x:c>
      <x:c r="M25" s="23" t="str">
        <x:v>garage-vision final_2026-09.md + operator clarification 2026-09-17</x:v>
      </x:c>
    </x:row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dataValidations count="1">
    <x:dataValidation type="list" sqref="I2:J25">
      <x:formula1>"Yes,No"</x:formula1>
    </x:dataValidation>
  </x:dataValidations>
  <x:pageMargins left="0.7" right="0.7" top="0.75" bottom="0.75" header="0.3" footer="0.3"/>
  <x:drawing xmlns:r="http://schemas.openxmlformats.org/officeDocument/2006/relationships" r:id="R260182e1302a4207"/>
  <x:tableParts count="1">
    <x:tablePart xmlns:r="http://schemas.openxmlformats.org/officeDocument/2006/relationships" r:id="R4fce0db837a74f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26" hidden="0" customWidth="1"/>
    <x:col min="5" max="5" width="48" hidden="0" customWidth="1"/>
    <x:col min="6" max="6" width="48" hidden="0" customWidth="1"/>
  </x:cols>
  <x:sheetData>
    <x:row r="1" ht="26" customHeight="1">
      <x:c r="A1" s="34" t="str">
        <x:v>System &amp; Cost Inputs</x:v>
      </x:c>
      <x:c r="B1" s="34"/>
      <x:c r="C1" s="34"/>
      <x:c r="D1" s="34"/>
      <x:c r="E1" s="34"/>
      <x:c r="F1" s="34"/>
    </x:row>
    <x:row r="2" ht="18" customHeight="1"/>
    <x:row r="3" ht="18" customHeight="1">
      <x:c r="A3" s="7" t="str">
        <x:v>Parameter</x:v>
      </x:c>
      <x:c r="B3" s="7" t="str">
        <x:v>Value</x:v>
      </x:c>
      <x:c r="C3" s="7" t="str">
        <x:v>Unit</x:v>
      </x:c>
      <x:c r="D3" s="7" t="str">
        <x:v>Basis</x:v>
      </x:c>
      <x:c r="E3" s="7" t="str">
        <x:v>Source</x:v>
      </x:c>
      <x:c r="F3" s="7" t="str">
        <x:v>Notes</x:v>
      </x:c>
    </x:row>
    <x:row r="4" ht="18" customHeight="1">
      <x:c r="A4" s="12" t="str">
        <x:v>Pilot shelf-equivalents built</x:v>
      </x:c>
      <x:c r="B4" s="56" t="n">
        <x:v>1</x:v>
      </x:c>
      <x:c r="C4" s="12" t="str">
        <x:v>shelf</x:v>
      </x:c>
      <x:c r="D4" s="12" t="str">
        <x:v>Operator-confirmed</x:v>
      </x:c>
      <x:c r="E4" s="12" t="str">
        <x:v>Operator clarification 2026-09-17</x:v>
      </x:c>
      <x:c r="F4" s="12" t="str">
        <x:v>One shelf = four NFT channels.</x:v>
      </x:c>
    </x:row>
    <x:row r="5" ht="18" customHeight="1">
      <x:c r="A5" s="12" t="str">
        <x:v>Channels per shelf</x:v>
      </x:c>
      <x:c r="B5" s="56" t="n">
        <x:v>4</x:v>
      </x:c>
      <x:c r="C5" s="12" t="str">
        <x:v>channels</x:v>
      </x:c>
      <x:c r="D5" s="12" t="str">
        <x:v>Recorded + operator-confirmed</x:v>
      </x:c>
      <x:c r="E5" s="12" t="str">
        <x:v>Pilot Costing (1).xlsx / operator clarification</x:v>
      </x:c>
      <x:c r="F5" s="12" t="str"/>
    </x:row>
    <x:row r="6" ht="18" customHeight="1">
      <x:c r="A6" s="12" t="str">
        <x:v>Sites per channel</x:v>
      </x:c>
      <x:c r="B6" s="56" t="n">
        <x:v>19</x:v>
      </x:c>
      <x:c r="C6" s="12" t="str">
        <x:v>sites</x:v>
      </x:c>
      <x:c r="D6" s="12" t="str">
        <x:v>Recorded</x:v>
      </x:c>
      <x:c r="E6" s="12" t="str">
        <x:v>garage-vision closeout + operator clarification</x:v>
      </x:c>
      <x:c r="F6" s="12" t="str"/>
    </x:row>
    <x:row r="7" ht="18" customHeight="1">
      <x:c r="A7" s="12" t="str">
        <x:v>Pilot nominal NFT sites</x:v>
      </x:c>
      <x:c r="B7" s="57" t="n">
        <x:f>B5*B6</x:f>
        <x:v>76</x:v>
      </x:c>
      <x:c r="C7" s="12" t="str">
        <x:v>sites</x:v>
      </x:c>
      <x:c r="D7" s="12" t="str">
        <x:v>Formula</x:v>
      </x:c>
      <x:c r="E7" s="12" t="str"/>
      <x:c r="F7" s="12" t="str"/>
    </x:row>
    <x:row r="8" ht="18" customHeight="1">
      <x:c r="A8" s="12" t="str">
        <x:v>Full rack shelf-equivalents</x:v>
      </x:c>
      <x:c r="B8" s="56" t="n">
        <x:v>2.5</x:v>
      </x:c>
      <x:c r="C8" s="12" t="str">
        <x:v>shelf</x:v>
      </x:c>
      <x:c r="D8" s="12" t="str">
        <x:v>Operator-confirmed</x:v>
      </x:c>
      <x:c r="E8" s="12" t="str">
        <x:v>Operator clarification 2026-09-17</x:v>
      </x:c>
      <x:c r="F8" s="12" t="str">
        <x:v>A completely filled rack is 2.5 shelf-equivalents.</x:v>
      </x:c>
    </x:row>
    <x:row r="9" ht="18" customHeight="1">
      <x:c r="A9" s="12" t="str">
        <x:v>Full rack nominal NFT sites</x:v>
      </x:c>
      <x:c r="B9" s="57" t="n">
        <x:f>B8*B6*B5</x:f>
        <x:v>190</x:v>
      </x:c>
      <x:c r="C9" s="12" t="str">
        <x:v>sites</x:v>
      </x:c>
      <x:c r="D9" s="12" t="str">
        <x:v>Formula</x:v>
      </x:c>
      <x:c r="E9" s="12" t="str"/>
      <x:c r="F9" s="12" t="str"/>
    </x:row>
    <x:row r="10" ht="18" customHeight="1">
      <x:c r="A10" s="12" t="str">
        <x:v>Rack width</x:v>
      </x:c>
      <x:c r="B10" s="56" t="n">
        <x:v>77</x:v>
      </x:c>
      <x:c r="C10" s="12" t="str">
        <x:v>in</x:v>
      </x:c>
      <x:c r="D10" s="12" t="str">
        <x:v>Recorded BOM</x:v>
      </x:c>
      <x:c r="E10" s="12" t="str">
        <x:v>Pilot Costing (1).xlsx — BOM</x:v>
      </x:c>
      <x:c r="F10" s="12" t="str">
        <x:v>Husky rack.</x:v>
      </x:c>
    </x:row>
    <x:row r="11" ht="18" customHeight="1">
      <x:c r="A11" s="12" t="str">
        <x:v>Rack depth</x:v>
      </x:c>
      <x:c r="B11" s="56" t="n">
        <x:v>24</x:v>
      </x:c>
      <x:c r="C11" s="12" t="str">
        <x:v>in</x:v>
      </x:c>
      <x:c r="D11" s="12" t="str">
        <x:v>Recorded BOM</x:v>
      </x:c>
      <x:c r="E11" s="12" t="str">
        <x:v>Pilot Costing (1).xlsx — BOM</x:v>
      </x:c>
      <x:c r="F11" s="12" t="str"/>
    </x:row>
    <x:row r="12" ht="18" customHeight="1">
      <x:c r="A12" s="12" t="str">
        <x:v>Rack height</x:v>
      </x:c>
      <x:c r="B12" s="56" t="n">
        <x:v>72</x:v>
      </x:c>
      <x:c r="C12" s="12" t="str">
        <x:v>in</x:v>
      </x:c>
      <x:c r="D12" s="12" t="str">
        <x:v>Recorded BOM</x:v>
      </x:c>
      <x:c r="E12" s="12" t="str">
        <x:v>Pilot Costing (1).xlsx — BOM</x:v>
      </x:c>
      <x:c r="F12" s="12" t="str"/>
    </x:row>
    <x:row r="13" ht="18" customHeight="1">
      <x:c r="A13" s="12" t="str">
        <x:v>Reservoir container capacity</x:v>
      </x:c>
      <x:c r="B13" s="56" t="n">
        <x:v>27</x:v>
      </x:c>
      <x:c r="C13" s="12" t="str">
        <x:v>gal</x:v>
      </x:c>
      <x:c r="D13" s="12" t="str">
        <x:v>Recorded BOM</x:v>
      </x:c>
      <x:c r="E13" s="12" t="str">
        <x:v>Pilot Costing (1).xlsx — BOM</x:v>
      </x:c>
      <x:c r="F13" s="12" t="str">
        <x:v>BJ's tote physical capacity.</x:v>
      </x:c>
    </x:row>
    <x:row r="14" ht="18" customHeight="1">
      <x:c r="A14" s="12" t="str">
        <x:v>Typical reservoir high level</x:v>
      </x:c>
      <x:c r="B14" s="56" t="n">
        <x:v>10</x:v>
      </x:c>
      <x:c r="C14" s="12" t="str">
        <x:v>gal</x:v>
      </x:c>
      <x:c r="D14" s="12" t="str">
        <x:v>Operator-confirmed</x:v>
      </x:c>
      <x:c r="E14" s="12" t="str">
        <x:v>Operator clarification 2026-09-17</x:v>
      </x:c>
      <x:c r="F14" s="12" t="str">
        <x:v>Normal fill cycle, not full tote capacity.</x:v>
      </x:c>
    </x:row>
    <x:row r="15" ht="18" customHeight="1">
      <x:c r="A15" s="12" t="str">
        <x:v>Typical reservoir low level</x:v>
      </x:c>
      <x:c r="B15" s="56" t="n">
        <x:v>2.5</x:v>
      </x:c>
      <x:c r="C15" s="12" t="str">
        <x:v>gal</x:v>
      </x:c>
      <x:c r="D15" s="12" t="str">
        <x:v>Operator-confirmed</x:v>
      </x:c>
      <x:c r="E15" s="12" t="str">
        <x:v>Operator clarification 2026-09-17</x:v>
      </x:c>
      <x:c r="F15" s="12" t="str">
        <x:v>Approximate pre-refill low level.</x:v>
      </x:c>
    </x:row>
    <x:row r="16" ht="18" customHeight="1">
      <x:c r="A16" s="12" t="str">
        <x:v>Lighting fixtures per pilot shelf</x:v>
      </x:c>
      <x:c r="B16" s="56" t="n">
        <x:v>4</x:v>
      </x:c>
      <x:c r="C16" s="12" t="str">
        <x:v>fixtures</x:v>
      </x:c>
      <x:c r="D16" s="12" t="str">
        <x:v>Recorded BOM</x:v>
      </x:c>
      <x:c r="E16" s="12" t="str">
        <x:v>Pilot Costing (1).xlsx — BOM</x:v>
      </x:c>
      <x:c r="F16" s="12" t="str"/>
    </x:row>
    <x:row r="17" ht="18" customHeight="1">
      <x:c r="A17" s="12" t="str">
        <x:v>Lighting watts per fixture</x:v>
      </x:c>
      <x:c r="B17" s="56" t="n">
        <x:v>19</x:v>
      </x:c>
      <x:c r="C17" s="12" t="str">
        <x:v>W</x:v>
      </x:c>
      <x:c r="D17" s="12" t="str">
        <x:v>Current product specification</x:v>
      </x:c>
      <x:c r="E17" s="12" t="str">
        <x:v>https://www.harborfreight.com/19-Watt-2-ft-Linkable-2-Light-Full-Spectrum-LED-Plant-Grow-Light-59250.html</x:v>
      </x:c>
      <x:c r="F17" s="12" t="str">
        <x:v>LUMINAR EVERYDAY SKU 59250.</x:v>
      </x:c>
    </x:row>
    <x:row r="18" ht="18" customHeight="1">
      <x:c r="A18" s="12" t="str">
        <x:v>Lighting hours per day</x:v>
      </x:c>
      <x:c r="B18" s="56" t="n">
        <x:v>16</x:v>
      </x:c>
      <x:c r="C18" s="12" t="str">
        <x:v>h/day</x:v>
      </x:c>
      <x:c r="D18" s="12" t="str">
        <x:v>Operator-confirmed</x:v>
      </x:c>
      <x:c r="E18" s="12" t="str">
        <x:v>Operator clarification 2026-09-17</x:v>
      </x:c>
      <x:c r="F18" s="12" t="str">
        <x:v>6 PM–10 AM.</x:v>
      </x:c>
    </x:row>
    <x:row r="19" ht="18" customHeight="1">
      <x:c r="A19" s="12" t="str">
        <x:v>Pilot lighting load</x:v>
      </x:c>
      <x:c r="B19" s="57" t="n">
        <x:f>B16*B17</x:f>
        <x:v>76</x:v>
      </x:c>
      <x:c r="C19" s="12" t="str">
        <x:v>W</x:v>
      </x:c>
      <x:c r="D19" s="12" t="str">
        <x:v>Formula</x:v>
      </x:c>
      <x:c r="E19" s="12" t="str"/>
      <x:c r="F19" s="12" t="str"/>
    </x:row>
    <x:row r="20" ht="18" customHeight="1">
      <x:c r="A20" s="12" t="str">
        <x:v>Pump flow rating</x:v>
      </x:c>
      <x:c r="B20" s="56" t="n">
        <x:v>264</x:v>
      </x:c>
      <x:c r="C20" s="12" t="str">
        <x:v>GPH</x:v>
      </x:c>
      <x:c r="D20" s="12" t="str">
        <x:v>Current product specification</x:v>
      </x:c>
      <x:c r="E20" s="12" t="str">
        <x:v>https://www.harborfreight.com/264-gph-submersible-pond-pump-63313.html</x:v>
      </x:c>
      <x:c r="F20" s="12" t="str">
        <x:v>Creekstone SKU 63313.</x:v>
      </x:c>
    </x:row>
    <x:row r="21" ht="18" customHeight="1">
      <x:c r="A21" s="12" t="str">
        <x:v>Pump voltage</x:v>
      </x:c>
      <x:c r="B21" s="56" t="n">
        <x:v>120</x:v>
      </x:c>
      <x:c r="C21" s="12" t="str">
        <x:v>VAC</x:v>
      </x:c>
      <x:c r="D21" s="12" t="str">
        <x:v>Current product specification</x:v>
      </x:c>
      <x:c r="E21" s="12" t="str">
        <x:v>https://www.harborfreight.com/264-gph-submersible-pond-pump-63313.html</x:v>
      </x:c>
      <x:c r="F21" s="12" t="str"/>
    </x:row>
    <x:row r="22" ht="18" customHeight="1">
      <x:c r="A22" s="12" t="str">
        <x:v>Pump nameplate current</x:v>
      </x:c>
      <x:c r="B22" s="56" t="n">
        <x:v>0.23</x:v>
      </x:c>
      <x:c r="C22" s="12" t="str">
        <x:v>A</x:v>
      </x:c>
      <x:c r="D22" s="12" t="str">
        <x:v>Current product specification</x:v>
      </x:c>
      <x:c r="E22" s="12" t="str">
        <x:v>https://www.harborfreight.com/264-gph-submersible-pond-pump-63313.html</x:v>
      </x:c>
      <x:c r="F22" s="12" t="str"/>
    </x:row>
    <x:row r="23" ht="18" customHeight="1">
      <x:c r="A23" s="12" t="str">
        <x:v>Pump rated-power proxy</x:v>
      </x:c>
      <x:c r="B23" s="57" t="n">
        <x:f>B21*B22</x:f>
        <x:v>27.6</x:v>
      </x:c>
      <x:c r="C23" s="12" t="str">
        <x:v>W</x:v>
      </x:c>
      <x:c r="D23" s="12" t="str">
        <x:v>Formula from V×A</x:v>
      </x:c>
      <x:c r="E23" s="12" t="str">
        <x:v>https://www.harborfreight.com/264-gph-submersible-pond-pump-63313.html</x:v>
      </x:c>
      <x:c r="F23" s="12" t="str">
        <x:v>27.6 VA nameplate apparent power used as conservative W proxy; actual real power not documented.</x:v>
      </x:c>
    </x:row>
    <x:row r="24" ht="18" customHeight="1">
      <x:c r="A24" s="12" t="str">
        <x:v>Pump runtime</x:v>
      </x:c>
      <x:c r="B24" s="56" t="n">
        <x:v>24</x:v>
      </x:c>
      <x:c r="C24" s="12" t="str">
        <x:v>h/day</x:v>
      </x:c>
      <x:c r="D24" s="12" t="str">
        <x:v>Operator-confirmed</x:v>
      </x:c>
      <x:c r="E24" s="12" t="str">
        <x:v>Operator clarification 2026-09-17</x:v>
      </x:c>
      <x:c r="F24" s="12" t="str">
        <x:v>Effectively 24/7.</x:v>
      </x:c>
    </x:row>
    <x:row r="25" ht="18" customHeight="1">
      <x:c r="A25" s="12" t="str">
        <x:v>Fan max rated power</x:v>
      </x:c>
      <x:c r="B25" s="56" t="n">
        <x:v>12</x:v>
      </x:c>
      <x:c r="C25" s="12" t="str">
        <x:v>W</x:v>
      </x:c>
      <x:c r="D25" s="12" t="str">
        <x:v>Manufacturer specification</x:v>
      </x:c>
      <x:c r="E25" s="12" t="str">
        <x:v>https://www.vivosun.com/support/guide/aerowave</x:v>
      </x:c>
      <x:c r="F25" s="12" t="str">
        <x:v>AeroWave E6 Gen2; maximum rated usage.</x:v>
      </x:c>
    </x:row>
    <x:row r="26" ht="18" customHeight="1">
      <x:c r="A26" s="12" t="str">
        <x:v>Fan late-experiment runtime</x:v>
      </x:c>
      <x:c r="B26" s="56" t="n">
        <x:v>24</x:v>
      </x:c>
      <x:c r="C26" s="12" t="str">
        <x:v>h/day</x:v>
      </x:c>
      <x:c r="D26" s="12" t="str">
        <x:v>Operator-confirmed</x:v>
      </x:c>
      <x:c r="E26" s="12" t="str">
        <x:v>Operator clarification 2026-09-17</x:v>
      </x:c>
      <x:c r="F26" s="12" t="str">
        <x:v>60/0 cycle for final ~1–2 months; earlier duty cycle varied.</x:v>
      </x:c>
    </x:row>
    <x:row r="27" ht="18" customHeight="1">
      <x:c r="A27" s="12" t="str">
        <x:v>Pilot modeled daily energy</x:v>
      </x:c>
      <x:c r="B27" s="57" t="n">
        <x:f>(B19*B18+B23*B24+B25*B26)/1000</x:f>
        <x:v>2.1664</x:v>
      </x:c>
      <x:c r="C27" s="12" t="str">
        <x:v>kWh/day</x:v>
      </x:c>
      <x:c r="D27" s="12" t="str">
        <x:v>Formula</x:v>
      </x:c>
      <x:c r="E27" s="12" t="str"/>
      <x:c r="F27" s="12" t="str">
        <x:v>Uses maximum fan rating and pump VA-as-W proxy; conservative, not measured.</x:v>
      </x:c>
    </x:row>
    <x:row r="28" ht="18" customHeight="1"/>
    <x:row r="29" ht="18" customHeight="1"/>
    <x:row r="30" ht="18" customHeight="1">
      <x:c r="A30" s="40" t="str">
        <x:v>Pilot Cost Summary</x:v>
      </x:c>
      <x:c r="B30" s="40"/>
      <x:c r="C30" s="40"/>
      <x:c r="D30" s="40"/>
      <x:c r="E30" s="40"/>
      <x:c r="F30" s="40"/>
    </x:row>
    <x:row r="31" ht="18" customHeight="1">
      <x:c r="A31" s="7" t="str">
        <x:v>Cost bucket</x:v>
      </x:c>
      <x:c r="B31" s="7" t="str">
        <x:v>Recorded cost ($)</x:v>
      </x:c>
      <x:c r="C31" s="7" t="str">
        <x:v>Commercial treatment</x:v>
      </x:c>
      <x:c r="D31" s="7" t="str">
        <x:v>Source</x:v>
      </x:c>
      <x:c r="E31" s="7" t="str">
        <x:v>Formula / note</x:v>
      </x:c>
      <x:c r="F31" s="7" t="str"/>
    </x:row>
    <x:row r="32" ht="18" customHeight="1">
      <x:c r="A32" s="12" t="str">
        <x:v>Per-shelf production hardware</x:v>
      </x:c>
      <x:c r="B32" s="52" t="n">
        <x:v>319.95</x:v>
      </x:c>
      <x:c r="C32" s="12" t="str">
        <x:v>Scales with shelf-equivalents</x:v>
      </x:c>
      <x:c r="D32" s="12" t="str">
        <x:v>Pilot Costing (1).xlsx — BOM</x:v>
      </x:c>
      <x:c r="E32" s="12" t="str">
        <x:v>Recorded subtotal</x:v>
      </x:c>
      <x:c r="F32" s="12" t="str"/>
    </x:row>
    <x:row r="33" ht="18" customHeight="1">
      <x:c r="A33" s="12" t="str">
        <x:v>Shared per-rack hardware</x:v>
      </x:c>
      <x:c r="B33" s="52" t="n">
        <x:v>287.53</x:v>
      </x:c>
      <x:c r="C33" s="12" t="str">
        <x:v>One per rack in current concept</x:v>
      </x:c>
      <x:c r="D33" s="12" t="str">
        <x:v>Pilot Costing (1).xlsx — BOM</x:v>
      </x:c>
      <x:c r="E33" s="12" t="str">
        <x:v>Recorded subtotal</x:v>
      </x:c>
      <x:c r="F33" s="12" t="str"/>
    </x:row>
    <x:row r="34" ht="18" customHeight="1">
      <x:c r="A34" s="12" t="str">
        <x:v>Tools</x:v>
      </x:c>
      <x:c r="B34" s="52" t="n">
        <x:v>62.91</x:v>
      </x:c>
      <x:c r="C34" s="12" t="str">
        <x:v>Pilot/startup; not recurring rack CAPEX</x:v>
      </x:c>
      <x:c r="D34" s="12" t="str">
        <x:v>Pilot Costing (1).xlsx — BOM</x:v>
      </x:c>
      <x:c r="E34" s="12" t="str">
        <x:v>Recorded subtotal</x:v>
      </x:c>
      <x:c r="F34" s="12" t="str"/>
    </x:row>
    <x:row r="35" ht="18" customHeight="1">
      <x:c r="A35" s="12" t="str">
        <x:v>Seed-starting station</x:v>
      </x:c>
      <x:c r="B35" s="52" t="n">
        <x:v>83.02</x:v>
      </x:c>
      <x:c r="C35" s="12" t="str">
        <x:v>Shared propagation/startup</x:v>
      </x:c>
      <x:c r="D35" s="12" t="str">
        <x:v>Pilot Costing (1).xlsx — BOM</x:v>
      </x:c>
      <x:c r="E35" s="12" t="str">
        <x:v>Recorded subtotal</x:v>
      </x:c>
      <x:c r="F35" s="12" t="str"/>
    </x:row>
    <x:row r="36" ht="18" customHeight="1">
      <x:c r="A36" s="12" t="str">
        <x:v>Chemicals purchased</x:v>
      </x:c>
      <x:c r="B36" s="52" t="n">
        <x:v>39.87</x:v>
      </x:c>
      <x:c r="C36" s="12" t="str">
        <x:v>Consumable inventory; not all consumed</x:v>
      </x:c>
      <x:c r="D36" s="12" t="str">
        <x:v>Pilot Costing (1).xlsx — BOM</x:v>
      </x:c>
      <x:c r="E36" s="12" t="str">
        <x:v>Recorded subtotal</x:v>
      </x:c>
      <x:c r="F36" s="12" t="str"/>
    </x:row>
    <x:row r="37" ht="18" customHeight="1">
      <x:c r="A37" s="12" t="str">
        <x:v>Sensors / timers</x:v>
      </x:c>
      <x:c r="B37" s="52" t="n">
        <x:v>25.18</x:v>
      </x:c>
      <x:c r="C37" s="12" t="str">
        <x:v>Instrumentation / controls</x:v>
      </x:c>
      <x:c r="D37" s="12" t="str">
        <x:v>Pilot Costing (1).xlsx — BOM</x:v>
      </x:c>
      <x:c r="E37" s="12" t="str">
        <x:v>Recorded subtotal</x:v>
      </x:c>
      <x:c r="F37" s="12" t="str"/>
    </x:row>
    <x:row r="38" ht="18" customHeight="1">
      <x:c r="A38" s="12" t="str">
        <x:v>Production system hardware (pilot)</x:v>
      </x:c>
      <x:c r="B38" s="53" t="n">
        <x:f>SUM(B32:B33)</x:f>
        <x:v>607.48</x:v>
      </x:c>
      <x:c r="C38" s="12" t="str">
        <x:v>Per-shelf + shared rack hardware</x:v>
      </x:c>
      <x:c r="D38" s="12" t="str">
        <x:v>Formula</x:v>
      </x:c>
      <x:c r="E38" s="12" t="str"/>
      <x:c r="F38" s="12" t="str"/>
    </x:row>
    <x:row r="39" ht="18" customHeight="1">
      <x:c r="A39" s="12" t="str">
        <x:v>Total pilot cash outlay</x:v>
      </x:c>
      <x:c r="B39" s="53" t="n">
        <x:f>SUM(B32:B37)</x:f>
        <x:v>818.4599999999999</x:v>
      </x:c>
      <x:c r="C39" s="12" t="str">
        <x:v>All recorded categories</x:v>
      </x:c>
      <x:c r="D39" s="12" t="str">
        <x:v>Formula</x:v>
      </x:c>
      <x:c r="E39" s="12" t="str"/>
      <x:c r="F39" s="12" t="str"/>
    </x:row>
    <x:row r="40" ht="18" customHeight="1">
      <x:c r="A40" s="12" t="str">
        <x:v>Full-rack production hardware (linearized)</x:v>
      </x:c>
      <x:c r="B40" s="53" t="n">
        <x:f>B33+B32*$B$8</x:f>
        <x:v>1087.405</x:v>
      </x:c>
      <x:c r="C40" s="12" t="str">
        <x:v>Shared rack + 2.5× per-shelf subtotal</x:v>
      </x:c>
      <x:c r="D40" s="12" t="str">
        <x:v>Formula</x:v>
      </x:c>
      <x:c r="E40" s="12" t="str"/>
      <x:c r="F40" s="12" t="str">
        <x:v>Pack-size rounding / exact final BOM not adjusted.</x:v>
      </x:c>
    </x:row>
    <x:row r="41" ht="18" customHeight="1"/>
    <x:row r="42" ht="18" customHeight="1"/>
    <x:row r="43" ht="18" customHeight="1">
      <x:c r="A43" s="40" t="str">
        <x:v>Labor Evidence / Assumptions</x:v>
      </x:c>
      <x:c r="B43" s="40"/>
      <x:c r="C43" s="40"/>
      <x:c r="D43" s="40"/>
      <x:c r="E43" s="40"/>
      <x:c r="F43" s="40"/>
    </x:row>
    <x:row r="44" ht="18" customHeight="1">
      <x:c r="A44" s="7" t="str">
        <x:v>Item</x:v>
      </x:c>
      <x:c r="B44" s="7" t="str">
        <x:v>Low</x:v>
      </x:c>
      <x:c r="C44" s="7" t="str">
        <x:v>High</x:v>
      </x:c>
      <x:c r="D44" s="7" t="str">
        <x:v>Unit</x:v>
      </x:c>
      <x:c r="E44" s="7" t="str">
        <x:v>Source</x:v>
      </x:c>
      <x:c r="F44" s="7" t="str">
        <x:v>Treatment</x:v>
      </x:c>
    </x:row>
    <x:row r="45" ht="18" customHeight="1">
      <x:c r="A45" s="12" t="str">
        <x:v>Cut + wash 2 channels</x:v>
      </x:c>
      <x:c r="B45" s="56" t="n">
        <x:v>1.5</x:v>
      </x:c>
      <x:c r="C45" s="56" t="n">
        <x:v>2</x:v>
      </x:c>
      <x:c r="D45" s="12" t="str">
        <x:v>hours</x:v>
      </x:c>
      <x:c r="E45" s="12" t="str">
        <x:v>Pilot Costing (1).xlsx — Build log</x:v>
      </x:c>
      <x:c r="F45" s="12" t="str">
        <x:v>Measured/recorded construction subtask.</x:v>
      </x:c>
    </x:row>
    <x:row r="46" ht="18" customHeight="1">
      <x:c r="A46" s="12" t="str">
        <x:v>Implied cut + wash 4 pilot channels</x:v>
      </x:c>
      <x:c r="B46" s="57" t="n">
        <x:f>B45*2</x:f>
        <x:v>3</x:v>
      </x:c>
      <x:c r="C46" s="57" t="n">
        <x:f>C45*2</x:f>
        <x:v>4</x:v>
      </x:c>
      <x:c r="D46" s="12" t="str">
        <x:v>hours</x:v>
      </x:c>
      <x:c r="E46" s="12" t="str">
        <x:v>Formula</x:v>
      </x:c>
      <x:c r="F46" s="12" t="str">
        <x:v>Linear extrapolation only; not total build time.</x:v>
      </x:c>
    </x:row>
    <x:row r="47" ht="18" customHeight="1">
      <x:c r="A47" s="12" t="str">
        <x:v>Retrospective total pilot build labor</x:v>
      </x:c>
      <x:c r="B47" s="60" t="n">
        <x:v>8</x:v>
      </x:c>
      <x:c r="C47" s="60" t="n">
        <x:v>10</x:v>
      </x:c>
      <x:c r="D47" s="12" t="str">
        <x:v>hours</x:v>
      </x:c>
      <x:c r="E47" s="12" t="str">
        <x:v>Operator estimate 2026-09-17</x:v>
      </x:c>
      <x:c r="F47" s="12" t="str">
        <x:v>~10 h current repeat build; 6–8 h plausible after refinement. Range shown as 8–10 h.</x:v>
      </x:c>
    </x:row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A1:F1"/>
    <x:mergeCell ref="A30:F30"/>
    <x:mergeCell ref="A43:F43"/>
  </x:mergeCells>
  <x:pageMargins left="0.7" right="0.7" top="0.75" bottom="0.75" header="0.3" footer="0.3"/>
  <x:tableParts count="2">
    <x:tablePart xmlns:r="http://schemas.openxmlformats.org/officeDocument/2006/relationships" r:id="Rccc5eca599f943e6"/>
    <x:tablePart xmlns:r="http://schemas.openxmlformats.org/officeDocument/2006/relationships" r:id="R73510e0e014d47e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24" hidden="0" customWidth="1"/>
    <x:col min="5" max="5" width="58" hidden="0" customWidth="1"/>
    <x:col min="6" max="6" width="42" hidden="0" customWidth="1"/>
  </x:cols>
  <x:sheetData>
    <x:row r="1" ht="26" customHeight="1">
      <x:c r="A1" s="34" t="str">
        <x:v>Reviewed Analysis Layer — Corrections &amp; Clarifications</x:v>
      </x:c>
      <x:c r="B1" s="34"/>
      <x:c r="C1" s="34"/>
      <x:c r="D1" s="34"/>
      <x:c r="E1" s="34"/>
      <x:c r="F1" s="34"/>
    </x:row>
    <x:row r="2" ht="18" customHeight="1"/>
    <x:row r="3" ht="18" customHeight="1">
      <x:c r="A3" s="7" t="str">
        <x:v>Item</x:v>
      </x:c>
      <x:c r="B3" s="7" t="str">
        <x:v>Source / repo value</x:v>
      </x:c>
      <x:c r="C3" s="7" t="str">
        <x:v>Reviewed value</x:v>
      </x:c>
      <x:c r="D3" s="7" t="str">
        <x:v>Action</x:v>
      </x:c>
      <x:c r="E3" s="7" t="str">
        <x:v>Reason</x:v>
      </x:c>
      <x:c r="F3" s="7" t="str">
        <x:v>Evidence</x:v>
      </x:c>
    </x:row>
    <x:row r="4" ht="18" customHeight="1">
      <x:c r="A4" s="12" t="str">
        <x:v>Physical pilot scale</x:v>
      </x:c>
      <x:c r="B4" s="12" t="str">
        <x:v>Implicit / ambiguous shelf vs rack terminology</x:v>
      </x:c>
      <x:c r="C4" s="12" t="str">
        <x:v>1 shelf = 4 channels = 76 nominal sites</x:v>
      </x:c>
      <x:c r="D4" s="12" t="str">
        <x:v>Clarify</x:v>
      </x:c>
      <x:c r="E4" s="12" t="str">
        <x:v>Only one production shelf was actually built.</x:v>
      </x:c>
      <x:c r="F4" s="12" t="str">
        <x:v>Operator clarification 2026-09-17</x:v>
      </x:c>
    </x:row>
    <x:row r="5" ht="18" customHeight="1">
      <x:c r="A5" s="12" t="str">
        <x:v>Full-rack capacity</x:v>
      </x:c>
      <x:c r="B5" s="12" t="str">
        <x:v>Commercial model used 8 channels / 152 sites</x:v>
      </x:c>
      <x:c r="C5" s="12" t="str">
        <x:v>2.5 shelves = 10 channels / 190 nominal sites</x:v>
      </x:c>
      <x:c r="D5" s="12" t="str">
        <x:v>Correct analysis layer</x:v>
      </x:c>
      <x:c r="E5" s="12" t="str">
        <x:v>Physical rack can fit 2.5 of the four-channel shelf module.</x:v>
      </x:c>
      <x:c r="F5" s="12" t="str">
        <x:v>Operator clarification 2026-09-17</x:v>
      </x:c>
    </x:row>
    <x:row r="6" ht="18" customHeight="1">
      <x:c r="A6" s="12" t="str">
        <x:v>Photoperiod</x:v>
      </x:c>
      <x:c r="B6" s="12" t="str">
        <x:v>Build notes contain multiple early lighting references</x:v>
      </x:c>
      <x:c r="C6" s="12" t="str">
        <x:v>6 PM–10 AM = 16 h/day production schedule</x:v>
      </x:c>
      <x:c r="D6" s="12" t="str">
        <x:v>Clarify</x:v>
      </x:c>
      <x:c r="E6" s="12" t="str">
        <x:v>Operator confirmed production schedule.</x:v>
      </x:c>
      <x:c r="F6" s="12" t="str">
        <x:v>Operator clarification 2026-09-17</x:v>
      </x:c>
    </x:row>
    <x:row r="7" ht="18" customHeight="1">
      <x:c r="A7" s="12" t="str">
        <x:v>Reservoir operating volume</x:v>
      </x:c>
      <x:c r="B7" s="12" t="str">
        <x:v>Build log says 15 gal sweet spot, 12–18 acceptable</x:v>
      </x:c>
      <x:c r="C7" s="12" t="str">
        <x:v>Typical operating cycle ~10 gal down to ~2.5 gal before refill</x:v>
      </x:c>
      <x:c r="D7" s="12" t="str">
        <x:v>Clarify</x:v>
      </x:c>
      <x:c r="E7" s="12" t="str">
        <x:v>Later operating practice differed from build-stage target.</x:v>
      </x:c>
      <x:c r="F7" s="12" t="str">
        <x:v>Operator clarification 2026-09-17 + Seed log 2026-06-05</x:v>
      </x:c>
    </x:row>
    <x:row r="8" ht="18" customHeight="1">
      <x:c r="A8" s="12" t="str">
        <x:v>Pump duty</x:v>
      </x:c>
      <x:c r="B8" s="12" t="str">
        <x:v>Not explicit in costing sheet</x:v>
      </x:c>
      <x:c r="C8" s="12" t="str">
        <x:v>24 h/day</x:v>
      </x:c>
      <x:c r="D8" s="12" t="str">
        <x:v>Add analysis input</x:v>
      </x:c>
      <x:c r="E8" s="12" t="str">
        <x:v>Operator confirmed effectively continuous operation.</x:v>
      </x:c>
      <x:c r="F8" s="12" t="str">
        <x:v>Operator clarification 2026-09-17</x:v>
      </x:c>
    </x:row>
    <x:row r="9" ht="18" customHeight="1">
      <x:c r="A9" s="12" t="str">
        <x:v>Pump electrical load</x:v>
      </x:c>
      <x:c r="B9" s="12" t="str">
        <x:v>No watts in BOM</x:v>
      </x:c>
      <x:c r="C9" s="12" t="str">
        <x:v>27.6 W conservative proxy from 120 V × 0.23 A</x:v>
      </x:c>
      <x:c r="D9" s="12" t="str">
        <x:v>Model assumption</x:v>
      </x:c>
      <x:c r="E9" s="12" t="str">
        <x:v>Harbor Freight documents voltage/current but not real watts; VA used as upper-style proxy, not measured W.</x:v>
      </x:c>
      <x:c r="F9" s="12" t="str">
        <x:v>Harbor Freight Creekstone 63313 specification</x:v>
      </x:c>
    </x:row>
    <x:row r="10" ht="18" customHeight="1">
      <x:c r="A10" s="12" t="str">
        <x:v>Fan duty</x:v>
      </x:c>
      <x:c r="B10" s="12" t="str">
        <x:v>Early note: 30 min on / 30 min off; later 60/0</x:v>
      </x:c>
      <x:c r="C10" s="12" t="str">
        <x:v>Variable; 60/0 continuous for final ~1–2 months</x:v>
      </x:c>
      <x:c r="D10" s="12" t="str">
        <x:v>Clarify</x:v>
      </x:c>
      <x:c r="E10" s="12" t="str">
        <x:v>Do not model whole experiment as one fixed fan duty without a scenario assumption.</x:v>
      </x:c>
      <x:c r="F10" s="12" t="str">
        <x:v>Operator clarification + seed/farm logs</x:v>
      </x:c>
    </x:row>
    <x:row r="11" ht="18" customHeight="1">
      <x:c r="A11" s="12" t="str">
        <x:v>Small cultivar cuts</x:v>
      </x:c>
      <x:c r="B11" s="12" t="str">
        <x:v>Repo labels later Thai/Holy/Opal/Greek rows production_harvest but harvest_type/use often 'other'</x:v>
      </x:c>
      <x:c r="C11" s="12" t="str">
        <x:v>Intentional production harvests</x:v>
      </x:c>
      <x:c r="D11" s="12" t="str">
        <x:v>Clarify, retain as production</x:v>
      </x:c>
      <x:c r="E11" s="12" t="str">
        <x:v>Operator confirmed these were intentional harvests, not cleanup.</x:v>
      </x:c>
      <x:c r="F11" s="12" t="str">
        <x:v>Operator clarification 2026-09-17</x:v>
      </x:c>
    </x:row>
    <x:row r="12" ht="18" customHeight="1">
      <x:c r="A12" s="12" t="str">
        <x:v>Commercial run-rate cohort</x:v>
      </x:c>
      <x:c r="B12" s="12" t="str">
        <x:v>Repo can use latest production row, e.g. 8 g Opal, for run-rate logic</x:v>
      </x:c>
      <x:c r="C12" s="12" t="str">
        <x:v>Use repeated mature Genovese harvest cohort separately</x:v>
      </x:c>
      <x:c r="D12" s="12" t="str">
        <x:v>Correct analysis method</x:v>
      </x:c>
      <x:c r="E12" s="12" t="str">
        <x:v>Tiny cultivar-specific harvest should not represent whole-rack production rate.</x:v>
      </x:c>
      <x:c r="F12" s="12" t="str">
        <x:v>Reviewed methodology</x:v>
      </x:c>
    </x:row>
    <x:row r="13" ht="18" customHeight="1">
      <x:c r="A13" s="12" t="str">
        <x:v>2026-06-07 harvest weight</x:v>
      </x:c>
      <x:c r="B13" s="12" t="str">
        <x:v>Repo final bundle = 38 g</x:v>
      </x:c>
      <x:c r="C13" s="12" t="str">
        <x:v>Reviewed total = 42 g; strict measured = 38 g</x:v>
      </x:c>
      <x:c r="D13" s="12" t="str">
        <x:v>Correct reviewed total only</x:v>
      </x:c>
      <x:c r="E13" s="12" t="str">
        <x:v>Contemporaneous seed log: 38 g after neighbor sample, estimated total 40–45 g, explicitly says log 42 g.</x:v>
      </x:c>
      <x:c r="F13" s="12" t="str">
        <x:v>Pilot Costing (1).xlsx — Seed log</x:v>
      </x:c>
    </x:row>
    <x:row r="14" ht="18" customHeight="1">
      <x:c r="A14" s="12" t="str">
        <x:v>2026-05-20 first prune</x:v>
      </x:c>
      <x:c r="B14" s="12" t="str">
        <x:v>Repo stores 20 g</x:v>
      </x:c>
      <x:c r="C14" s="12" t="str">
        <x:v>Keep 20 g as repo value but mark estimated 20–30 g; exclude from strict measured yield</x:v>
      </x:c>
      <x:c r="D14" s="12" t="str">
        <x:v>Reclassify evidence quality</x:v>
      </x:c>
      <x:c r="E14" s="12" t="str">
        <x:v>Contemporaneous note says unweighed, about 20–30 g.</x:v>
      </x:c>
      <x:c r="F14" s="12" t="str">
        <x:v>Pilot Costing (1).xlsx — Seed log</x:v>
      </x:c>
    </x:row>
    <x:row r="15" ht="18" customHeight="1">
      <x:c r="A15" s="12" t="str">
        <x:v>Historical source files</x:v>
      </x:c>
      <x:c r="B15" s="12" t="str">
        <x:v>Raw/repo records</x:v>
      </x:c>
      <x:c r="C15" s="12" t="str">
        <x:v>Preserve unchanged</x:v>
      </x:c>
      <x:c r="D15" s="12" t="str">
        <x:v>No destructive edits</x:v>
      </x:c>
      <x:c r="E15" s="12" t="str">
        <x:v>Reviewed corrections belong in analysis layer to preserve provenance.</x:v>
      </x:c>
      <x:c r="F15" s="12" t="str">
        <x:v>Analysis policy</x:v>
      </x:c>
    </x:row>
    <x:row r="16" ht="18" customHeight="1">
      <x:c r="A16" s="12" t="str">
        <x:v>Commercial target</x:v>
      </x:c>
      <x:c r="B16" s="12" t="str">
        <x:v>Historical ~$50k personal threshold</x:v>
      </x:c>
      <x:c r="C16" s="12" t="str">
        <x:v>$36,000/year owner cash income target</x:v>
      </x:c>
      <x:c r="D16" s="12" t="str">
        <x:v>Update analysis target</x:v>
      </x:c>
      <x:c r="E16" s="12" t="str">
        <x:v>Modern target is $3,000/month USD.</x:v>
      </x:c>
      <x:c r="F16" s="12" t="str">
        <x:v>Operator clarification 2026-09-17</x:v>
      </x:c>
    </x:row>
    <x:row r="17" ht="18" customHeight="1">
      <x:c r="A17" s="12" t="str">
        <x:v>Delivery labor</x:v>
      </x:c>
      <x:c r="B17" s="12" t="str">
        <x:v>Not previously fixed</x:v>
      </x:c>
      <x:c r="C17" s="12" t="str">
        <x:v>3 hours/week; 1–2 delivery runs/week</x:v>
      </x:c>
      <x:c r="D17" s="12" t="str">
        <x:v>Add model assumption</x:v>
      </x:c>
      <x:c r="E17" s="12" t="str">
        <x:v>User-defined planning burden.</x:v>
      </x:c>
      <x:c r="F17" s="12" t="str">
        <x:v>Operator clarification 2026-09-17</x:v>
      </x:c>
    </x:row>
    <x:row r="18" ht="18" customHeight="1">
      <x:c r="A18" s="12" t="str">
        <x:v>Restaurant strategy</x:v>
      </x:c>
      <x:c r="B18" s="12" t="str">
        <x:v>Genovese / Sysco replacement dominated early framing</x:v>
      </x:c>
      <x:c r="C18" s="12" t="str">
        <x:v>Premium curated basil assortment is preferred differentiation case</x:v>
      </x:c>
      <x:c r="D18" s="12" t="str">
        <x:v>Clarify commercial strategy</x:v>
      </x:c>
      <x:c r="E18" s="12" t="str">
        <x:v>Operator experience with Opal, Lemon, Thai and Holy shifted product preference.</x:v>
      </x:c>
      <x:c r="F18" s="12" t="str">
        <x:v>Operator clarification + project-history recall</x:v>
      </x:c>
    </x:row>
    <x:row r="19" ht="18" customHeight="1">
      <x:c r="A19" s="12" t="str">
        <x:v>Winter operation</x:v>
      </x:c>
      <x:c r="B19" s="12" t="str">
        <x:v>Not physically tested</x:v>
      </x:c>
      <x:c r="C19" s="12" t="str">
        <x:v>Year-round intent with modular rack enclosures/heaters</x:v>
      </x:c>
      <x:c r="D19" s="12" t="str">
        <x:v>Retain as scenario only</x:v>
      </x:c>
      <x:c r="E19" s="12" t="str">
        <x:v>Warm-season pilot cannot validate winter yield or heating cost.</x:v>
      </x:c>
      <x:c r="F19" s="12" t="str">
        <x:v>Operator clarification + project-history recall</x:v>
      </x:c>
    </x:row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4327191c93444d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20" hidden="0" customWidth="1"/>
    <x:col min="5" max="5" width="48" hidden="0" customWidth="1"/>
  </x:cols>
  <x:sheetData>
    <x:row r="1" ht="26" customHeight="1">
      <x:c r="A1" s="91" t="str">
        <x:v>Garage-Scale Commercial Feasibility Model</x:v>
      </x:c>
      <x:c r="B1" s="91"/>
      <x:c r="C1" s="91"/>
      <x:c r="D1" s="91"/>
      <x:c r="E1" s="91"/>
      <x:c r="F1" s="91"/>
      <x:c r="G1" s="91"/>
      <x:c r="H1" s="91"/>
    </x:row>
    <x:row r="2">
      <x:c r="A2" s="12" t="str">
        <x:v>Blue = editable assumption | Green = linked primary data | Black = formula</x:v>
      </x:c>
      <x:c r="B2" s="12"/>
      <x:c r="C2" s="12"/>
      <x:c r="D2" s="12"/>
      <x:c r="E2" s="12"/>
      <x:c r="F2" s="12"/>
      <x:c r="G2" s="12"/>
      <x:c r="H2" s="12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92" t="str">
        <x:v>Core Scale &amp; Yield Inputs</x:v>
      </x:c>
      <x:c r="B4" s="92"/>
      <x:c r="C4" s="92"/>
      <x:c r="D4" s="92"/>
      <x:c r="E4" s="92"/>
      <x:c r="F4" s="92"/>
      <x:c r="G4" s="92"/>
      <x:c r="H4" s="92"/>
    </x:row>
    <x:row r="5">
      <x:c r="A5" s="93" t="str">
        <x:v>Input</x:v>
      </x:c>
      <x:c r="B5" s="93" t="str">
        <x:v>Value</x:v>
      </x:c>
      <x:c r="C5" s="93" t="str">
        <x:v>Unit</x:v>
      </x:c>
      <x:c r="D5" s="93" t="str">
        <x:v>Type</x:v>
      </x:c>
      <x:c r="E5" s="93" t="str">
        <x:v>Source / rationale</x:v>
      </x:c>
      <x:c r="F5" s="12"/>
      <x:c r="G5" s="12"/>
      <x:c r="H5" s="12"/>
    </x:row>
    <x:row r="6">
      <x:c r="A6" s="12" t="str">
        <x:v>Full racks in garage</x:v>
      </x:c>
      <x:c r="B6" s="23" t="n">
        <x:v>6</x:v>
      </x:c>
      <x:c r="C6" s="12" t="str">
        <x:v>racks</x:v>
      </x:c>
      <x:c r="D6" s="12" t="str">
        <x:v>Operator estimate</x:v>
      </x:c>
      <x:c r="E6" s="12" t="str">
        <x:v>Prior garage geometry work; later operator recall</x:v>
      </x:c>
      <x:c r="F6" s="12"/>
      <x:c r="G6" s="12"/>
      <x:c r="H6" s="12"/>
    </x:row>
    <x:row r="7">
      <x:c r="A7" s="12" t="str">
        <x:v>Nominal sites per full rack</x:v>
      </x:c>
      <x:c r="B7" s="95" t="n">
        <x:f>'System &amp; Costs'!B9</x:f>
        <x:v>190</x:v>
      </x:c>
      <x:c r="C7" s="12" t="str">
        <x:v>sites/rack</x:v>
      </x:c>
      <x:c r="D7" s="12" t="str">
        <x:v>Linked reviewed data</x:v>
      </x:c>
      <x:c r="E7" s="12" t="str">
        <x:v>System &amp; Costs</x:v>
      </x:c>
      <x:c r="F7" s="12"/>
      <x:c r="G7" s="12"/>
      <x:c r="H7" s="12"/>
    </x:row>
    <x:row r="8">
      <x:c r="A8" s="12" t="str">
        <x:v>Observed mature Genovese rate</x:v>
      </x:c>
      <x:c r="B8" s="95" t="n">
        <x:f>Summary!B20</x:f>
        <x:v>0.568289384719405</x:v>
      </x:c>
      <x:c r="C8" s="12" t="str">
        <x:v>g/site/day</x:v>
      </x:c>
      <x:c r="D8" s="12" t="str">
        <x:v>Linked reviewed data</x:v>
      </x:c>
      <x:c r="E8" s="12" t="str">
        <x:v>Summary repeat-cycle rate</x:v>
      </x:c>
      <x:c r="F8" s="12"/>
      <x:c r="G8" s="12"/>
      <x:c r="H8" s="12"/>
    </x:row>
    <x:row r="9">
      <x:c r="A9" s="12" t="str">
        <x:v>Site utilization</x:v>
      </x:c>
      <x:c r="B9" s="97" t="n">
        <x:v>1</x:v>
      </x:c>
      <x:c r="C9" s="12" t="str">
        <x:v>%</x:v>
      </x:c>
      <x:c r="D9" s="12" t="str">
        <x:v>Scenario assumption</x:v>
      </x:c>
      <x:c r="E9" s="12" t="str">
        <x:v>100% technical ceiling; reduce for practical planning</x:v>
      </x:c>
      <x:c r="F9" s="12"/>
      <x:c r="G9" s="12"/>
      <x:c r="H9" s="12"/>
    </x:row>
    <x:row r="10">
      <x:c r="A10" s="12" t="str">
        <x:v>Annual yield-retention factor</x:v>
      </x:c>
      <x:c r="B10" s="97" t="n">
        <x:v>1</x:v>
      </x:c>
      <x:c r="C10" s="12" t="str">
        <x:v>%</x:v>
      </x:c>
      <x:c r="D10" s="12" t="str">
        <x:v>Scenario assumption</x:v>
      </x:c>
      <x:c r="E10" s="12" t="str">
        <x:v>Warm-season rate annualized; winter performance not tested</x:v>
      </x:c>
      <x:c r="F10" s="12"/>
      <x:c r="G10" s="12"/>
      <x:c r="H10" s="12"/>
    </x:row>
    <x:row r="11">
      <x:c r="A11" s="12" t="str">
        <x:v>Saleable fraction of weighed crop</x:v>
      </x:c>
      <x:c r="B11" s="98" t="n">
        <x:v>1</x:v>
      </x:c>
      <x:c r="C11" s="12" t="str">
        <x:v>%</x:v>
      </x:c>
      <x:c r="D11" s="12" t="str">
        <x:v>Operator observation</x:v>
      </x:c>
      <x:c r="E11" s="12" t="str">
        <x:v>Weights taken after yellow-leaf cleanup</x:v>
      </x:c>
      <x:c r="F11" s="12"/>
      <x:c r="G11" s="12"/>
      <x:c r="H11" s="12"/>
    </x:row>
    <x:row r="12">
      <x:c r="A12" s="12" t="str">
        <x:v>Realized selling price</x:v>
      </x:c>
      <x:c r="B12" s="102" t="n">
        <x:v>16.95</x:v>
      </x:c>
      <x:c r="C12" s="12" t="str">
        <x:v>$/lb</x:v>
      </x:c>
      <x:c r="D12" s="12" t="str">
        <x:v>Scenario assumption</x:v>
      </x:c>
      <x:c r="E12" s="12" t="str">
        <x:v>Current NYC restaurant-supplier reference; editable</x:v>
      </x:c>
      <x:c r="F12" s="12"/>
      <x:c r="G12" s="12"/>
      <x:c r="H12" s="12"/>
    </x:row>
    <x:row r="13">
      <x:c r="A13" s="12" t="str">
        <x:v>Owner cash-income target</x:v>
      </x:c>
      <x:c r="B13" s="101" t="n">
        <x:v>36000</x:v>
      </x:c>
      <x:c r="C13" s="12" t="str">
        <x:v>$/year</x:v>
      </x:c>
      <x:c r="D13" s="12" t="str">
        <x:v>User target</x:v>
      </x:c>
      <x:c r="E13" s="12" t="str">
        <x:v>$3,000/month</x:v>
      </x:c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92" t="str">
        <x:v>Operating Cost Inputs</x:v>
      </x:c>
      <x:c r="B15" s="92"/>
      <x:c r="C15" s="92"/>
      <x:c r="D15" s="92"/>
      <x:c r="E15" s="92"/>
      <x:c r="F15" s="92"/>
      <x:c r="G15" s="92"/>
      <x:c r="H15" s="92"/>
    </x:row>
    <x:row r="16">
      <x:c r="A16" s="93" t="str">
        <x:v>Input</x:v>
      </x:c>
      <x:c r="B16" s="93" t="str">
        <x:v>Value</x:v>
      </x:c>
      <x:c r="C16" s="93" t="str">
        <x:v>Unit</x:v>
      </x:c>
      <x:c r="D16" s="93" t="str">
        <x:v>Type</x:v>
      </x:c>
      <x:c r="E16" s="93" t="str">
        <x:v>Source / rationale</x:v>
      </x:c>
      <x:c r="F16" s="12"/>
      <x:c r="G16" s="12"/>
      <x:c r="H16" s="12"/>
    </x:row>
    <x:row r="17">
      <x:c r="A17" s="12" t="str">
        <x:v>Garage/space cost</x:v>
      </x:c>
      <x:c r="B17" s="99" t="n">
        <x:v>100</x:v>
      </x:c>
      <x:c r="C17" s="12" t="str">
        <x:v>$/month</x:v>
      </x:c>
      <x:c r="D17" s="12" t="str">
        <x:v>Observed</x:v>
      </x:c>
      <x:c r="E17" s="12" t="str">
        <x:v>Actual apartment garage charge</x:v>
      </x:c>
      <x:c r="F17" s="12"/>
      <x:c r="G17" s="12"/>
      <x:c r="H17" s="12"/>
    </x:row>
    <x:row r="18">
      <x:c r="A18" s="12" t="str">
        <x:v>Electricity rate</x:v>
      </x:c>
      <x:c r="B18" s="100" t="n">
        <x:v>0.2495</x:v>
      </x:c>
      <x:c r="C18" s="12" t="str">
        <x:v>$/kWh</x:v>
      </x:c>
      <x:c r="D18" s="12" t="str">
        <x:v>External current input</x:v>
      </x:c>
      <x:c r="E18" s="12" t="str">
        <x:v>EIA NJ June 2026 residential average</x:v>
      </x:c>
      <x:c r="F18" s="12"/>
      <x:c r="G18" s="12"/>
      <x:c r="H18" s="12"/>
    </x:row>
    <x:row r="19">
      <x:c r="A19" s="12" t="str">
        <x:v>Consumables + packaging</x:v>
      </x:c>
      <x:c r="B19" s="101" t="n">
        <x:v>900</x:v>
      </x:c>
      <x:c r="C19" s="12" t="str">
        <x:v>$/year</x:v>
      </x:c>
      <x:c r="D19" s="12" t="str">
        <x:v>Scenario allowance</x:v>
      </x:c>
      <x:c r="E19" s="12" t="str">
        <x:v>Seeds/plugs/nutrients/cleaning/packaging; editable</x:v>
      </x:c>
      <x:c r="F19" s="12"/>
      <x:c r="G19" s="12"/>
      <x:c r="H19" s="12"/>
    </x:row>
    <x:row r="20">
      <x:c r="A20" s="12" t="str">
        <x:v>Delivery miles</x:v>
      </x:c>
      <x:c r="B20" s="96" t="n">
        <x:v>40</x:v>
      </x:c>
      <x:c r="C20" s="12" t="str">
        <x:v>miles/week</x:v>
      </x:c>
      <x:c r="D20" s="12" t="str">
        <x:v>Scenario assumption</x:v>
      </x:c>
      <x:c r="E20" s="12" t="str">
        <x:v>3 hr/week delivery time is known; mileage not measured</x:v>
      </x:c>
      <x:c r="F20" s="12"/>
      <x:c r="G20" s="12"/>
      <x:c r="H20" s="12"/>
    </x:row>
    <x:row r="21">
      <x:c r="A21" s="12" t="str">
        <x:v>Vehicle cost rate</x:v>
      </x:c>
      <x:c r="B21" s="102" t="n">
        <x:v>0.76</x:v>
      </x:c>
      <x:c r="C21" s="12" t="str">
        <x:v>$/mile</x:v>
      </x:c>
      <x:c r="D21" s="12" t="str">
        <x:v>External current input</x:v>
      </x:c>
      <x:c r="E21" s="12" t="str">
        <x:v>IRS Jul–Dec 2026 business mileage rate</x:v>
      </x:c>
      <x:c r="F21" s="12"/>
      <x:c r="G21" s="12"/>
      <x:c r="H21" s="12"/>
    </x:row>
    <x:row r="22">
      <x:c r="A22" s="12" t="str">
        <x:v>Equipment reserve</x:v>
      </x:c>
      <x:c r="B22" s="102" t="n">
        <x:v>500</x:v>
      </x:c>
      <x:c r="C22" s="12" t="str">
        <x:v>$/year</x:v>
      </x:c>
      <x:c r="D22" s="12" t="str">
        <x:v>Scenario allowance</x:v>
      </x:c>
      <x:c r="E22" s="12" t="str">
        <x:v>Repairs/replacements beyond CAPEX amortization</x:v>
      </x:c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92" t="str">
        <x:v>Winter Enclosure Model (Unvalidated Design Scenario)</x:v>
      </x:c>
      <x:c r="B24" s="92"/>
      <x:c r="C24" s="92"/>
      <x:c r="D24" s="92"/>
      <x:c r="E24" s="92"/>
      <x:c r="F24" s="92"/>
      <x:c r="G24" s="92"/>
      <x:c r="H24" s="92"/>
    </x:row>
    <x:row r="25">
      <x:c r="A25" s="93" t="str">
        <x:v>Input</x:v>
      </x:c>
      <x:c r="B25" s="93" t="str">
        <x:v>Value</x:v>
      </x:c>
      <x:c r="C25" s="93" t="str">
        <x:v>Unit</x:v>
      </x:c>
      <x:c r="D25" s="93" t="str">
        <x:v>Type</x:v>
      </x:c>
      <x:c r="E25" s="93" t="str">
        <x:v>Source / rationale</x:v>
      </x:c>
      <x:c r="F25" s="12"/>
      <x:c r="G25" s="12"/>
      <x:c r="H25" s="12"/>
    </x:row>
    <x:row r="26">
      <x:c r="A26" s="12" t="str">
        <x:v>Enclosure target temp</x:v>
      </x:c>
      <x:c r="B26" s="23" t="n">
        <x:v>65</x:v>
      </x:c>
      <x:c r="C26" s="12" t="str">
        <x:v>°F</x:v>
      </x:c>
      <x:c r="D26" s="12" t="str">
        <x:v>Plant-science input</x:v>
      </x:c>
      <x:c r="E26" s="12" t="str">
        <x:v>Penn State basil/herb guidance</x:v>
      </x:c>
      <x:c r="F26" s="12"/>
      <x:c r="G26" s="12"/>
      <x:c r="H26" s="12"/>
    </x:row>
    <x:row r="27">
      <x:c r="A27" s="12" t="str">
        <x:v>Average winter garage temp</x:v>
      </x:c>
      <x:c r="B27" s="96" t="n">
        <x:v>35</x:v>
      </x:c>
      <x:c r="C27" s="12" t="str">
        <x:v>°F</x:v>
      </x:c>
      <x:c r="D27" s="12" t="str">
        <x:v>Scenario assumption</x:v>
      </x:c>
      <x:c r="E27" s="12" t="str">
        <x:v>Historical project context: detached garage roughly 25–45°F</x:v>
      </x:c>
      <x:c r="F27" s="12"/>
      <x:c r="G27" s="12"/>
      <x:c r="H27" s="12"/>
    </x:row>
    <x:row r="28">
      <x:c r="A28" s="12" t="str">
        <x:v>Enclosure effective R-value</x:v>
      </x:c>
      <x:c r="B28" s="96" t="n">
        <x:v>5</x:v>
      </x:c>
      <x:c r="C28" s="12" t="str">
        <x:v>h·ft²·°F/Btu</x:v>
      </x:c>
      <x:c r="D28" s="12" t="str">
        <x:v>Scenario assumption</x:v>
      </x:c>
      <x:c r="E28" s="12" t="str">
        <x:v>Illustrative insulated modular enclosure</x:v>
      </x:c>
      <x:c r="F28" s="12"/>
      <x:c r="G28" s="12"/>
      <x:c r="H28" s="12"/>
    </x:row>
    <x:row r="29">
      <x:c r="A29" s="12" t="str">
        <x:v>Heat-loss / infiltration factor</x:v>
      </x:c>
      <x:c r="B29" s="96" t="n">
        <x:v>1.5</x:v>
      </x:c>
      <x:c r="C29" s="12" t="str">
        <x:v>x</x:v>
      </x:c>
      <x:c r="D29" s="12" t="str">
        <x:v>Scenario assumption</x:v>
      </x:c>
      <x:c r="E29" s="12" t="str">
        <x:v>Adds 50% allowance to simple conduction model</x:v>
      </x:c>
      <x:c r="F29" s="12"/>
      <x:c r="G29" s="12"/>
      <x:c r="H29" s="12"/>
    </x:row>
    <x:row r="30">
      <x:c r="A30" s="12" t="str">
        <x:v>Heating season</x:v>
      </x:c>
      <x:c r="B30" s="96" t="n">
        <x:v>120</x:v>
      </x:c>
      <x:c r="C30" s="12" t="str">
        <x:v>days/year</x:v>
      </x:c>
      <x:c r="D30" s="12" t="str">
        <x:v>Scenario assumption</x:v>
      </x:c>
      <x:c r="E30" s="12" t="str">
        <x:v>Winter planning allowance</x:v>
      </x:c>
      <x:c r="F30" s="12"/>
      <x:c r="G30" s="12"/>
      <x:c r="H30" s="12"/>
    </x:row>
    <x:row r="31">
      <x:c r="A31" s="12" t="str">
        <x:v>Winterization CAPEX</x:v>
      </x:c>
      <x:c r="B31" s="101" t="n">
        <x:v>250</x:v>
      </x:c>
      <x:c r="C31" s="12" t="str">
        <x:v>$/rack</x:v>
      </x:c>
      <x:c r="D31" s="12" t="str">
        <x:v>Scenario assumption</x:v>
      </x:c>
      <x:c r="E31" s="12" t="str">
        <x:v>Enclosure + small heater allowance; not a recorded BOM</x:v>
      </x:c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92" t="str">
        <x:v>Labor Inputs</x:v>
      </x:c>
      <x:c r="B33" s="92"/>
      <x:c r="C33" s="92"/>
      <x:c r="D33" s="92"/>
      <x:c r="E33" s="92"/>
      <x:c r="F33" s="92"/>
      <x:c r="G33" s="92"/>
      <x:c r="H33" s="92"/>
    </x:row>
    <x:row r="34">
      <x:c r="A34" s="93" t="str">
        <x:v>Input</x:v>
      </x:c>
      <x:c r="B34" s="94" t="str">
        <x:v>Value</x:v>
      </x:c>
      <x:c r="C34" s="93" t="str">
        <x:v>Unit</x:v>
      </x:c>
      <x:c r="D34" s="93" t="str">
        <x:v>Type</x:v>
      </x:c>
      <x:c r="E34" s="93" t="str">
        <x:v>Source / rationale</x:v>
      </x:c>
      <x:c r="F34" s="12"/>
      <x:c r="G34" s="12"/>
      <x:c r="H34" s="12"/>
    </x:row>
    <x:row r="35">
      <x:c r="A35" s="12" t="str">
        <x:v>Harvest labor per production harvest</x:v>
      </x:c>
      <x:c r="B35" s="114" t="n">
        <x:v>0.6666666666666666</x:v>
      </x:c>
      <x:c r="C35" s="12" t="str">
        <x:v>hours</x:v>
      </x:c>
      <x:c r="D35" s="12" t="str">
        <x:v>Operator estimate</x:v>
      </x:c>
      <x:c r="E35" s="12" t="str">
        <x:v>~40 min for ~300–450 g</x:v>
      </x:c>
      <x:c r="F35" s="12"/>
      <x:c r="G35" s="12"/>
      <x:c r="H35" s="12"/>
    </x:row>
    <x:row r="36">
      <x:c r="A36" s="12" t="str">
        <x:v>Reference harvest mass</x:v>
      </x:c>
      <x:c r="B36" s="117" t="n">
        <x:f>Summary!B15/1000</x:f>
        <x:v>0.35683333333333334</x:v>
      </x:c>
      <x:c r="C36" s="12" t="str">
        <x:v>kg/event</x:v>
      </x:c>
      <x:c r="D36" s="12" t="str">
        <x:v>Linked reviewed data</x:v>
      </x:c>
      <x:c r="E36" s="12" t="str">
        <x:v>Steady-state cohort mean</x:v>
      </x:c>
      <x:c r="F36" s="12"/>
      <x:c r="G36" s="12"/>
      <x:c r="H36" s="12"/>
    </x:row>
    <x:row r="37">
      <x:c r="A37" s="12" t="str">
        <x:v>Daily walkthrough / cleanup</x:v>
      </x:c>
      <x:c r="B37" s="114" t="n">
        <x:v>0.16666666666666666</x:v>
      </x:c>
      <x:c r="C37" s="12" t="str">
        <x:v>hours/day</x:v>
      </x:c>
      <x:c r="D37" s="12" t="str">
        <x:v>Operator estimate</x:v>
      </x:c>
      <x:c r="E37" s="12" t="str">
        <x:v>Routine mature-system attention</x:v>
      </x:c>
      <x:c r="F37" s="12"/>
      <x:c r="G37" s="12"/>
      <x:c r="H37" s="12"/>
    </x:row>
    <x:row r="38">
      <x:c r="A38" s="12" t="str">
        <x:v>Delivery labor</x:v>
      </x:c>
      <x:c r="B38" s="116" t="n">
        <x:v>3</x:v>
      </x:c>
      <x:c r="C38" s="12" t="str">
        <x:v>hours/week</x:v>
      </x:c>
      <x:c r="D38" s="12" t="str">
        <x:v>Operator estimate</x:v>
      </x:c>
      <x:c r="E38" s="12" t="str">
        <x:v>1–2 runs/week depending scale</x:v>
      </x:c>
      <x:c r="F38" s="12"/>
      <x:c r="G38" s="12"/>
      <x:c r="H38" s="12"/>
    </x:row>
    <x:row r="39">
      <x:c r="A39" s="12" t="str">
        <x:v>Reservoir labor</x:v>
      </x:c>
      <x:c r="B39" s="114" t="n">
        <x:v>0</x:v>
      </x:c>
      <x:c r="C39" s="12" t="str">
        <x:v>hours/week</x:v>
      </x:c>
      <x:c r="D39" s="12" t="str">
        <x:v>Unmeasured / editable</x:v>
      </x:c>
      <x:c r="E39" s="12" t="str">
        <x:v>Excluded until time-per-refill is reconstructed or redesigned/automated</x:v>
      </x:c>
      <x:c r="F39" s="12"/>
      <x:c r="G39" s="12"/>
      <x:c r="H39" s="12"/>
    </x:row>
    <x:row r="40">
      <x:c r="A40" s="12" t="str">
        <x:v>Repeat-build labor: pilot shelf</x:v>
      </x:c>
      <x:c r="B40" s="114" t="n">
        <x:v>10</x:v>
      </x:c>
      <x:c r="C40" s="12" t="str">
        <x:v>hours</x:v>
      </x:c>
      <x:c r="D40" s="12" t="str">
        <x:v>Operator estimate</x:v>
      </x:c>
      <x:c r="E40" s="12" t="str">
        <x:v>Current repeat build; 6–8 h plausible after refinement</x:v>
      </x:c>
      <x:c r="F40" s="12"/>
      <x:c r="G40" s="12"/>
      <x:c r="H40" s="12"/>
    </x:row>
    <x:row r="41">
      <x:c r="A41" s="12"/>
      <x:c r="B41" s="12"/>
      <x:c r="C41" s="12"/>
      <x:c r="D41" s="12"/>
      <x:c r="E41" s="12"/>
      <x:c r="F41" s="12"/>
      <x:c r="G41" s="12"/>
      <x:c r="H41" s="12"/>
    </x:row>
    <x:row r="42">
      <x:c r="A42" s="92" t="str">
        <x:v>Calculated Garage-Scale Results</x:v>
      </x:c>
      <x:c r="B42" s="92"/>
      <x:c r="C42" s="92"/>
      <x:c r="D42" s="92"/>
      <x:c r="E42" s="92"/>
      <x:c r="F42" s="92"/>
      <x:c r="G42" s="92"/>
      <x:c r="H42" s="92"/>
    </x:row>
    <x:row r="43">
      <x:c r="A43" s="93" t="str">
        <x:v>Metric</x:v>
      </x:c>
      <x:c r="B43" s="93" t="str">
        <x:v>Value</x:v>
      </x:c>
      <x:c r="C43" s="93" t="str">
        <x:v>Unit</x:v>
      </x:c>
      <x:c r="D43" s="93" t="str">
        <x:v>Interpretation</x:v>
      </x:c>
      <x:c r="E43" s="93"/>
      <x:c r="F43" s="12"/>
      <x:c r="G43" s="12"/>
      <x:c r="H43" s="12"/>
    </x:row>
    <x:row r="44">
      <x:c r="A44" s="12" t="str">
        <x:v>Nominal garage sites</x:v>
      </x:c>
      <x:c r="B44" s="50" t="n">
        <x:f>B6*B7</x:f>
        <x:v>1140</x:v>
      </x:c>
      <x:c r="C44" s="12" t="str">
        <x:v>sites</x:v>
      </x:c>
      <x:c r="D44" s="12" t="str">
        <x:v>6 racks × 190</x:v>
      </x:c>
      <x:c r="E44" s="12"/>
      <x:c r="F44" s="12"/>
      <x:c r="G44" s="12"/>
      <x:c r="H44" s="12"/>
    </x:row>
    <x:row r="45">
      <x:c r="A45" s="12" t="str">
        <x:v>Annual saleable production</x:v>
      </x:c>
      <x:c r="B45" s="103" t="n">
        <x:f>B44*B8*365*B9*B10*B11/1000</x:f>
        <x:v>236.4652129817444</x:v>
      </x:c>
      <x:c r="C45" s="12" t="str">
        <x:v>kg/year</x:v>
      </x:c>
      <x:c r="D45" s="12" t="str">
        <x:v>Observed per-site rate × utilization × annual factor</x:v>
      </x:c>
      <x:c r="E45" s="12"/>
      <x:c r="F45" s="12"/>
      <x:c r="G45" s="12"/>
      <x:c r="H45" s="12"/>
    </x:row>
    <x:row r="46">
      <x:c r="A46" s="12" t="str">
        <x:v>Annual saleable production</x:v>
      </x:c>
      <x:c r="B46" s="103" t="n">
        <x:f>B45*2.204622622</x:f>
        <x:v>521.3165578556018</x:v>
      </x:c>
      <x:c r="C46" s="12" t="str">
        <x:v>lb/year</x:v>
      </x:c>
      <x:c r="D46" s="12" t="str">
        <x:v>Same production in pounds</x:v>
      </x:c>
      <x:c r="E46" s="12"/>
      <x:c r="F46" s="12"/>
      <x:c r="G46" s="12"/>
      <x:c r="H46" s="12"/>
    </x:row>
    <x:row r="47">
      <x:c r="A47" s="12" t="str">
        <x:v>Weekly saleable production</x:v>
      </x:c>
      <x:c r="B47" s="103" t="n">
        <x:f>B46/52</x:f>
        <x:v>10.025318420300035</x:v>
      </x:c>
      <x:c r="C47" s="12" t="str">
        <x:v>lb/week</x:v>
      </x:c>
      <x:c r="D47" s="12" t="str">
        <x:v>Average annual output / 52</x:v>
      </x:c>
      <x:c r="E47" s="12"/>
      <x:c r="F47" s="12"/>
      <x:c r="G47" s="12"/>
      <x:c r="H47" s="12"/>
    </x:row>
    <x:row r="48">
      <x:c r="A48" s="12" t="str">
        <x:v>Annual revenue</x:v>
      </x:c>
      <x:c r="B48" s="104" t="n">
        <x:f>B46*B12</x:f>
        <x:v>8836.31565565245</x:v>
      </x:c>
      <x:c r="C48" s="12" t="str">
        <x:v>$/year</x:v>
      </x:c>
      <x:c r="D48" s="12" t="str">
        <x:v>Saleable lb × realized price</x:v>
      </x:c>
      <x:c r="E48" s="12"/>
      <x:c r="F48" s="12"/>
      <x:c r="G48" s="12"/>
      <x:c r="H48" s="12"/>
    </x:row>
    <x:row r="49">
      <x:c r="A49" s="12" t="str">
        <x:v>Base grow electricity</x:v>
      </x:c>
      <x:c r="B49" s="106" t="n">
        <x:f>B6*365*((2.5*'System &amp; Costs'!B19*'System &amp; Costs'!B18/1000)+('System &amp; Costs'!B23*'System &amp; Costs'!B24/1000)+(2.5*'System &amp; Costs'!B25*'System &amp; Costs'!B26/1000))</x:f>
        <x:v>9685.055999999999</x:v>
      </x:c>
      <x:c r="C49" s="12" t="str">
        <x:v>kWh/year</x:v>
      </x:c>
      <x:c r="D49" s="12" t="str">
        <x:v>Lights + pump + scaled fans; excludes heating</x:v>
      </x:c>
      <x:c r="E49" s="12"/>
      <x:c r="F49" s="12"/>
      <x:c r="G49" s="12"/>
      <x:c r="H49" s="12"/>
    </x:row>
    <x:row r="50">
      <x:c r="A50" s="12" t="str">
        <x:v>Base grow electricity cost</x:v>
      </x:c>
      <x:c r="B50" s="106" t="n">
        <x:f>B49*B18</x:f>
        <x:v>2416.4214719999995</x:v>
      </x:c>
      <x:c r="C50" s="12" t="str">
        <x:v>$/year</x:v>
      </x:c>
      <x:c r="D50" s="12" t="str">
        <x:v>At selected NJ rate</x:v>
      </x:c>
      <x:c r="E50" s="12"/>
      <x:c r="F50" s="12"/>
      <x:c r="G50" s="12"/>
      <x:c r="H50" s="12"/>
    </x:row>
    <x:row r="51">
      <x:c r="A51" s="12" t="str">
        <x:v>Winter heater electricity</x:v>
      </x:c>
      <x:c r="B51" s="106" t="n">
        <x:f>MAX(0,((((2*((('System &amp; Costs'!B10/12)*('System &amp; Costs'!B11/12))+(('System &amp; Costs'!B10/12)*('System &amp; Costs'!B12/12))+(('System &amp; Costs'!B11/12)*('System &amp; Costs'!B12/12))))*(B26-B27)/B28)*B29)/3.412142)-((2.5*'System &amp; Costs'!B19*'System &amp; Costs'!B18/24)+'System &amp; Costs'!B23+(2.5*'System &amp; Costs'!B25)))*24*B30*B6/1000</x:f>
        <x:v>2589.1370047975734</x:v>
      </x:c>
      <x:c r="C51" s="12" t="str">
        <x:v>kWh/year</x:v>
      </x:c>
      <x:c r="D51" s="12" t="str">
        <x:v>Simple enclosure heat-loss model net of internal equipment heat</x:v>
      </x:c>
      <x:c r="E51" s="12"/>
      <x:c r="F51" s="12"/>
      <x:c r="G51" s="12"/>
      <x:c r="H51" s="12"/>
    </x:row>
    <x:row r="52">
      <x:c r="A52" s="12" t="str">
        <x:v>Winter heater cost</x:v>
      </x:c>
      <x:c r="B52" s="104" t="n">
        <x:f>B51*B18</x:f>
        <x:v>645.9896826969946</x:v>
      </x:c>
      <x:c r="C52" s="12" t="str">
        <x:v>$/year</x:v>
      </x:c>
      <x:c r="D52" s="12" t="str">
        <x:v>Unvalidated enclosure scenario</x:v>
      </x:c>
      <x:c r="E52" s="12"/>
      <x:c r="F52" s="12"/>
      <x:c r="G52" s="12"/>
      <x:c r="H52" s="12"/>
    </x:row>
    <x:row r="53">
      <x:c r="A53" s="12" t="str">
        <x:v>Delivery vehicle cost</x:v>
      </x:c>
      <x:c r="B53" s="104" t="n">
        <x:f>B20*52*B21</x:f>
        <x:v>1580.8</x:v>
      </x:c>
      <x:c r="C53" s="12" t="str">
        <x:v>$/year</x:v>
      </x:c>
      <x:c r="D53" s="12" t="str">
        <x:v>Mileage scenario × IRS rate</x:v>
      </x:c>
      <x:c r="E53" s="12"/>
      <x:c r="F53" s="12"/>
      <x:c r="G53" s="12"/>
      <x:c r="H53" s="12"/>
    </x:row>
    <x:row r="54">
      <x:c r="A54" s="12" t="str">
        <x:v>Cash operating cost</x:v>
      </x:c>
      <x:c r="B54" s="104" t="n">
        <x:f>B17*12+B50+B52+B19+B53+B22</x:f>
        <x:v>7243.2111546969945</x:v>
      </x:c>
      <x:c r="C54" s="12" t="str">
        <x:v>$/year</x:v>
      </x:c>
      <x:c r="D54" s="12" t="str">
        <x:v>Space + grow power + heat + consumables + vehicle + reserve</x:v>
      </x:c>
      <x:c r="E54" s="12"/>
      <x:c r="F54" s="12"/>
      <x:c r="G54" s="12"/>
      <x:c r="H54" s="12"/>
    </x:row>
    <x:row r="55">
      <x:c r="A55" s="12" t="str">
        <x:v>Cash owner income before capital</x:v>
      </x:c>
      <x:c r="B55" s="104" t="n">
        <x:f>B48-B54</x:f>
        <x:v>1593.1045009554555</x:v>
      </x:c>
      <x:c r="C55" s="12" t="str">
        <x:v>$/year</x:v>
      </x:c>
      <x:c r="D55" s="12" t="str">
        <x:v>Revenue minus cash operating cost; before income tax</x:v>
      </x:c>
      <x:c r="E55" s="12"/>
      <x:c r="F55" s="12"/>
      <x:c r="G55" s="12"/>
      <x:c r="H55" s="12"/>
    </x:row>
    <x:row r="56">
      <x:c r="A56" s="12" t="str">
        <x:v>Garage startup CAPEX</x:v>
      </x:c>
      <x:c r="B56" s="104" t="n">
        <x:f>B6*'System &amp; Costs'!B40+(B6*'System &amp; Costs'!B37)+'System &amp; Costs'!B34+'System &amp; Costs'!B35+'System &amp; Costs'!B36+(B6*B31)</x:f>
        <x:v>8361.310000000001</x:v>
      </x:c>
      <x:c r="C56" s="12" t="str">
        <x:v>$</x:v>
      </x:c>
      <x:c r="D56" s="12" t="str">
        <x:v>6 full-rack hardware + controls/shared startup + winterization</x:v>
      </x:c>
      <x:c r="E56" s="12"/>
      <x:c r="F56" s="12"/>
      <x:c r="G56" s="12"/>
      <x:c r="H56" s="12"/>
    </x:row>
    <x:row r="57">
      <x:c r="A57" s="12" t="str">
        <x:v>Annualized CAPEX (5 yr)</x:v>
      </x:c>
      <x:c r="B57" s="104" t="n">
        <x:f>B56/5</x:f>
        <x:v>1672.2620000000002</x:v>
      </x:c>
      <x:c r="C57" s="12" t="str">
        <x:v>$/year</x:v>
      </x:c>
      <x:c r="D57" s="12" t="str">
        <x:v>Simple straight-line planning charge</x:v>
      </x:c>
      <x:c r="E57" s="12"/>
      <x:c r="F57" s="12"/>
      <x:c r="G57" s="12"/>
      <x:c r="H57" s="12"/>
    </x:row>
    <x:row r="58">
      <x:c r="A58" s="12" t="str">
        <x:v>Economic profit after capital</x:v>
      </x:c>
      <x:c r="B58" s="104" t="n">
        <x:f>B55-B57</x:f>
        <x:v>-79.15749904454469</x:v>
      </x:c>
      <x:c r="C58" s="12" t="str">
        <x:v>$/year</x:v>
      </x:c>
      <x:c r="D58" s="12" t="str">
        <x:v>Cash owner income minus annualized CAPEX</x:v>
      </x:c>
      <x:c r="E58" s="12"/>
      <x:c r="F58" s="12"/>
      <x:c r="G58" s="12"/>
      <x:c r="H58" s="12"/>
    </x:row>
    <x:row r="59">
      <x:c r="A59" s="12" t="str">
        <x:v>Harvest labor</x:v>
      </x:c>
      <x:c r="B59" s="103" t="n">
        <x:f>IF(B36=0,0,B45*(B35/B36))</x:f>
        <x:v>441.7846108953655</x:v>
      </x:c>
      <x:c r="C59" s="12" t="str">
        <x:v>hours/year</x:v>
      </x:c>
      <x:c r="D59" s="12" t="str">
        <x:v>Scaled from operator estimate and output</x:v>
      </x:c>
      <x:c r="E59" s="12"/>
      <x:c r="F59" s="12"/>
      <x:c r="G59" s="12"/>
      <x:c r="H59" s="12"/>
    </x:row>
    <x:row r="60">
      <x:c r="A60" s="12" t="str">
        <x:v>Walkthrough labor</x:v>
      </x:c>
      <x:c r="B60" s="103" t="n">
        <x:f>B37*365</x:f>
        <x:v>60.83333333333333</x:v>
      </x:c>
      <x:c r="C60" s="12" t="str">
        <x:v>hours/year</x:v>
      </x:c>
      <x:c r="D60" s="12" t="str">
        <x:v>10 min/day baseline</x:v>
      </x:c>
      <x:c r="E60" s="12"/>
      <x:c r="F60" s="12"/>
      <x:c r="G60" s="12"/>
      <x:c r="H60" s="12"/>
    </x:row>
    <x:row r="61">
      <x:c r="A61" s="12" t="str">
        <x:v>Delivery labor</x:v>
      </x:c>
      <x:c r="B61" s="103" t="n">
        <x:f>B38*52</x:f>
        <x:v>156</x:v>
      </x:c>
      <x:c r="C61" s="12" t="str">
        <x:v>hours/year</x:v>
      </x:c>
      <x:c r="D61" s="12" t="str">
        <x:v>3 h/week</x:v>
      </x:c>
      <x:c r="E61" s="12"/>
      <x:c r="F61" s="12"/>
      <x:c r="G61" s="12"/>
      <x:c r="H61" s="12"/>
    </x:row>
    <x:row r="62">
      <x:c r="A62" s="12" t="str">
        <x:v>Total modeled owner labor</x:v>
      </x:c>
      <x:c r="B62" s="103" t="n">
        <x:f>B59+B60+B61+(B39*52)</x:f>
        <x:v>658.6179442286989</x:v>
      </x:c>
      <x:c r="C62" s="12" t="str">
        <x:v>hours/year</x:v>
      </x:c>
      <x:c r="D62" s="12" t="str">
        <x:v>Excludes unmeasured reservoir labor</x:v>
      </x:c>
      <x:c r="E62" s="12"/>
      <x:c r="F62" s="12"/>
      <x:c r="G62" s="12"/>
      <x:c r="H62" s="12"/>
    </x:row>
    <x:row r="63">
      <x:c r="A63" s="12" t="str">
        <x:v>Modeled owner labor</x:v>
      </x:c>
      <x:c r="B63" s="103" t="n">
        <x:f>B62/52</x:f>
        <x:v>12.665729696705748</x:v>
      </x:c>
      <x:c r="C63" s="12" t="str">
        <x:v>hours/week</x:v>
      </x:c>
      <x:c r="D63" s="12" t="str">
        <x:v>Annual / 52</x:v>
      </x:c>
      <x:c r="E63" s="12"/>
      <x:c r="F63" s="12"/>
      <x:c r="G63" s="12"/>
      <x:c r="H63" s="12"/>
    </x:row>
    <x:row r="64">
      <x:c r="A64" s="12" t="str">
        <x:v>Cash income per modeled owner hour</x:v>
      </x:c>
      <x:c r="B64" s="105" t="n">
        <x:f>IF(B62=0,0,B55/B62)</x:f>
        <x:v>2.4188598487414805</x:v>
      </x:c>
      <x:c r="C64" s="12" t="str">
        <x:v>$/hour</x:v>
      </x:c>
      <x:c r="D64" s="12" t="str">
        <x:v>Before capital and taxes; reservoir time excluded</x:v>
      </x:c>
      <x:c r="E64" s="12"/>
      <x:c r="F64" s="12"/>
      <x:c r="G64" s="12"/>
      <x:c r="H64" s="12"/>
    </x:row>
    <x:row r="65">
      <x:c r="A65" s="12" t="str">
        <x:v>Required price for $36k cash target</x:v>
      </x:c>
      <x:c r="B65" s="105" t="n">
        <x:f>IF(B46=0,0,(B13+B54)/B46)</x:f>
        <x:v>82.95000514193303</x:v>
      </x:c>
      <x:c r="C65" s="12" t="str">
        <x:v>$/lb</x:v>
      </x:c>
      <x:c r="D65" s="12" t="str">
        <x:v>Cash target + operating costs divided by annual saleable pounds</x:v>
      </x:c>
      <x:c r="E65" s="12"/>
      <x:c r="F65" s="12"/>
      <x:c r="G65" s="12"/>
      <x:c r="H65" s="12"/>
    </x:row>
    <x:row r="66">
      <x:c r="A66" s="12" t="str">
        <x:v>Required price incl. annualized CAPEX</x:v>
      </x:c>
      <x:c r="B66" s="105" t="n">
        <x:f>IF(B46=0,0,(B13+B54+B57)/B46)</x:f>
        <x:v>86.15777204440536</x:v>
      </x:c>
      <x:c r="C66" s="12" t="str">
        <x:v>$/lb</x:v>
      </x:c>
      <x:c r="D66" s="12" t="str">
        <x:v>Adds simple five-year capital recovery</x:v>
      </x:c>
      <x:c r="E66" s="12"/>
      <x:c r="F66" s="12"/>
      <x:c r="G66" s="12"/>
      <x:c r="H66" s="12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5" hidden="0" customWidth="1"/>
    <x:col min="4" max="4" width="26" hidden="0" customWidth="1"/>
    <x:col min="5" max="5" width="55" hidden="0" customWidth="1"/>
    <x:col min="6" max="6" width="55" hidden="0" customWidth="1"/>
  </x:cols>
  <x:sheetData>
    <x:row r="1" ht="26" customHeight="1">
      <x:c r="A1" s="91" t="str">
        <x:v>External Research Inputs — September 2026</x:v>
      </x:c>
      <x:c r="B1" s="91"/>
      <x:c r="C1" s="91"/>
      <x:c r="D1" s="91"/>
      <x:c r="E1" s="91"/>
      <x:c r="F1" s="91"/>
      <x:c r="G1" s="87"/>
      <x:c r="H1" s="87"/>
    </x:row>
    <x:row r="2">
      <x:c r="A2" s="93" t="str">
        <x:v>Input</x:v>
      </x:c>
      <x:c r="B2" s="93" t="str">
        <x:v>Value</x:v>
      </x:c>
      <x:c r="C2" s="93" t="str">
        <x:v>Unit</x:v>
      </x:c>
      <x:c r="D2" s="93" t="str">
        <x:v>Use in model</x:v>
      </x:c>
      <x:c r="E2" s="93" t="str">
        <x:v>Source</x:v>
      </x:c>
      <x:c r="F2" s="93" t="str">
        <x:v>Notes</x:v>
      </x:c>
    </x:row>
    <x:row r="3">
      <x:c r="A3" s="12" t="str">
        <x:v>NJ residential electricity</x:v>
      </x:c>
      <x:c r="B3" s="107" t="n">
        <x:v>0.2495</x:v>
      </x:c>
      <x:c r="C3" s="12" t="str">
        <x:v>$/kWh</x:v>
      </x:c>
      <x:c r="D3" s="12" t="str">
        <x:v>Base electricity rate</x:v>
      </x:c>
      <x:c r="E3" s="12" t="str">
        <x:v>https://www.eia.gov/electricity/monthly/epm_table_grapher.php?t=epmt_5_6_a</x:v>
      </x:c>
      <x:c r="F3" s="12" t="str">
        <x:v>EIA June 2026 New Jersey residential average: 24.95¢/kWh.</x:v>
      </x:c>
    </x:row>
    <x:row r="4">
      <x:c r="A4" s="12" t="str">
        <x:v>Commodity basil wholesale benchmark</x:v>
      </x:c>
      <x:c r="B4" s="99" t="n">
        <x:v>7</x:v>
      </x:c>
      <x:c r="C4" s="12" t="str">
        <x:v>$/lb</x:v>
      </x:c>
      <x:c r="D4" s="12" t="str">
        <x:v>Commodity sensitivity</x:v>
      </x:c>
      <x:c r="E4" s="12" t="str">
        <x:v>https://mymarketnews.ams.usda.gov/filerepo/sites/default/files/2319/2026-03-24/1312842/ams_2319_01508.pdf</x:v>
      </x:c>
      <x:c r="F4" s="12" t="str">
        <x:v>USDA Philadelphia reports 1 kg imported basil around $14.50–18; current terminal data remain in roughly this range. $7/lb is a rounded benchmark, not a restaurant-delivered quote.</x:v>
      </x:c>
    </x:row>
    <x:row r="5">
      <x:c r="A5" s="12" t="str">
        <x:v>NYC restaurant-supplier sweet basil quote</x:v>
      </x:c>
      <x:c r="B5" s="99" t="n">
        <x:v>16.95</x:v>
      </x:c>
      <x:c r="C5" s="12" t="str">
        <x:v>$/lb</x:v>
      </x:c>
      <x:c r="D5" s="12" t="str">
        <x:v>Direct restaurant reference</x:v>
      </x:c>
      <x:c r="E5" s="12" t="str">
        <x:v>https://www.foodomarket.com/en-us/products/herbs-and-aromatic-herbs/basil</x:v>
      </x:c>
      <x:c r="F5" s="12" t="str">
        <x:v>Current NYC restaurant/food-business supplier quote; not the USDA terminal-market price.</x:v>
      </x:c>
    </x:row>
    <x:row r="6">
      <x:c r="A6" s="12" t="str">
        <x:v>Purple Opal basil wholesale</x:v>
      </x:c>
      <x:c r="B6" s="108" t="n">
        <x:v>22</x:v>
      </x:c>
      <x:c r="C6" s="12" t="str">
        <x:v>$/kg</x:v>
      </x:c>
      <x:c r="D6" s="12" t="str">
        <x:v>Specialty mature-basil reference</x:v>
      </x:c>
      <x:c r="E6" s="12" t="str">
        <x:v>https://www.foodotrends.com/us/price-history/purple-opal-basil</x:v>
      </x:c>
      <x:c r="F6" s="12" t="str">
        <x:v>One NYC distributor, Sep 2026. Equivalent to about $9.98/lb.</x:v>
      </x:c>
    </x:row>
    <x:row r="7">
      <x:c r="A7" s="12" t="str">
        <x:v>Thai basil wholesale</x:v>
      </x:c>
      <x:c r="B7" s="108" t="n">
        <x:v>18</x:v>
      </x:c>
      <x:c r="C7" s="12" t="str">
        <x:v>$/kg</x:v>
      </x:c>
      <x:c r="D7" s="12" t="str">
        <x:v>Specialty mature-basil reference</x:v>
      </x:c>
      <x:c r="E7" s="12" t="str">
        <x:v>https://www.foodotrends.com/us/price-history/basil-thai</x:v>
      </x:c>
      <x:c r="F7" s="12" t="str">
        <x:v>One NYC distributor, Sep 2026. Equivalent to about $8.16/lb.</x:v>
      </x:c>
    </x:row>
    <x:row r="8">
      <x:c r="A8" s="12" t="str">
        <x:v>Micro Opal basil wholesale</x:v>
      </x:c>
      <x:c r="B8" s="23" t="n">
        <x:v>18</x:v>
      </x:c>
      <x:c r="C8" s="12" t="str">
        <x:v>$/4 oz pack</x:v>
      </x:c>
      <x:c r="D8" s="12" t="str">
        <x:v>High-value comparison only</x:v>
      </x:c>
      <x:c r="E8" s="12" t="str">
        <x:v>https://www.foodotrends.com/us/price-history/micro-opal-basil</x:v>
      </x:c>
      <x:c r="F8" s="12" t="str">
        <x:v>Different product class from mature basil; equivalent arithmetic is $72/lb but should not be used as a mature-basil price.</x:v>
      </x:c>
    </x:row>
    <x:row r="9">
      <x:c r="A9" s="12" t="str">
        <x:v>8 oz clear hinged container</x:v>
      </x:c>
      <x:c r="B9" s="99" t="n">
        <x:v>0.12</x:v>
      </x:c>
      <x:c r="C9" s="12" t="str">
        <x:v>$/each</x:v>
      </x:c>
      <x:c r="D9" s="12" t="str">
        <x:v>Packaging reference</x:v>
      </x:c>
      <x:c r="E9" s="12" t="str">
        <x:v>https://www.webstaurantstore.com/choice-8-oz-clear-rpet-hinged-deli-container-case/127CH08.html</x:v>
      </x:c>
      <x:c r="F9" s="12" t="str">
        <x:v>200/case at $24.49, about $0.12 each.</x:v>
      </x:c>
    </x:row>
    <x:row r="10">
      <x:c r="A10" s="12" t="str">
        <x:v>Business mileage rate</x:v>
      </x:c>
      <x:c r="B10" s="99" t="n">
        <x:v>0.76</x:v>
      </x:c>
      <x:c r="C10" s="12" t="str">
        <x:v>$/mile</x:v>
      </x:c>
      <x:c r="D10" s="12" t="str">
        <x:v>Vehicle-cost scenario</x:v>
      </x:c>
      <x:c r="E10" s="12" t="str">
        <x:v>https://www.irs.gov/tax-professionals/standard-mileage-rates</x:v>
      </x:c>
      <x:c r="F10" s="12" t="str">
        <x:v>IRS business standard mileage rate effective Jul 1–Dec 31, 2026.</x:v>
      </x:c>
    </x:row>
    <x:row r="11">
      <x:c r="A11" s="12" t="str">
        <x:v>Basil enclosure target</x:v>
      </x:c>
      <x:c r="B11" s="12" t="n">
        <x:v>65</x:v>
      </x:c>
      <x:c r="C11" s="12" t="str">
        <x:v>°F</x:v>
      </x:c>
      <x:c r="D11" s="12" t="str">
        <x:v>Winter base setpoint</x:v>
      </x:c>
      <x:c r="E11" s="12" t="str">
        <x:v>https://extension.psu.edu/growing-herbs-indoors</x:v>
      </x:c>
      <x:c r="F11" s="12" t="str">
        <x:v>Penn State recommends indoor herbs at least 65–70°F by day; basil is cold-sensitive below 50°F.</x:v>
      </x:c>
    </x:row>
    <x:row r="12">
      <x:c r="A12" s="12"/>
      <x:c r="B12" s="12"/>
      <x:c r="C12" s="12"/>
      <x:c r="D12" s="12"/>
      <x:c r="E12" s="12"/>
      <x:c r="F12" s="12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6" customHeight="1">
      <x:c r="A1" s="91" t="str">
        <x:v>Feasibility Sensitivity</x:v>
      </x:c>
      <x:c r="B1" s="91"/>
      <x:c r="C1" s="91"/>
      <x:c r="D1" s="91"/>
      <x:c r="E1" s="91"/>
      <x:c r="F1" s="91"/>
      <x:c r="G1" s="91"/>
      <x:c r="H1" s="91"/>
    </x:row>
    <x:row r="2">
      <x:c r="A2" s="12" t="str">
        <x:v>Uses current Economics assumptions except realized price / yield multiplier.</x:v>
      </x:c>
      <x:c r="B2" s="12"/>
      <x:c r="C2" s="12"/>
      <x:c r="D2" s="12"/>
      <x:c r="E2" s="12"/>
      <x:c r="F2" s="12"/>
      <x:c r="G2" s="12"/>
      <x:c r="H2" s="12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92" t="str">
        <x:v>Price Sensitivity at Observed Yield</x:v>
      </x:c>
      <x:c r="B4" s="92"/>
      <x:c r="C4" s="92"/>
      <x:c r="D4" s="92"/>
      <x:c r="E4" s="92"/>
      <x:c r="F4" s="92"/>
      <x:c r="G4" s="92"/>
      <x:c r="H4" s="92"/>
    </x:row>
    <x:row r="5">
      <x:c r="A5" s="93" t="str">
        <x:v>Realized price ($/lb)</x:v>
      </x:c>
      <x:c r="B5" s="93" t="str">
        <x:v>Annual revenue ($)</x:v>
      </x:c>
      <x:c r="C5" s="93" t="str">
        <x:v>Cash owner income ($)</x:v>
      </x:c>
      <x:c r="D5" s="93" t="str">
        <x:v>Economic profit after capital ($)</x:v>
      </x:c>
      <x:c r="E5" s="93" t="str">
        <x:v>Meets $36k cash target?</x:v>
      </x:c>
      <x:c r="F5" s="12"/>
      <x:c r="G5" s="12"/>
      <x:c r="H5" s="12"/>
    </x:row>
    <x:row r="6">
      <x:c r="A6" s="109" t="n">
        <x:v>7</x:v>
      </x:c>
      <x:c r="B6" s="110" t="n">
        <x:f>A6*Economics!B46</x:f>
        <x:v>3649.2159049892125</x:v>
      </x:c>
      <x:c r="C6" s="110" t="n">
        <x:f>B6-Economics!B54</x:f>
        <x:v>-3593.995249707782</x:v>
      </x:c>
      <x:c r="D6" s="110" t="n">
        <x:f>C6-Economics!B57</x:f>
        <x:v>-5266.257249707782</x:v>
      </x:c>
      <x:c r="E6" s="12" t="str">
        <x:f>IF(C6&gt;=Economics!B13,"Yes","No")</x:f>
        <x:v>No</x:v>
      </x:c>
      <x:c r="F6" s="12"/>
      <x:c r="G6" s="12"/>
      <x:c r="H6" s="12"/>
    </x:row>
    <x:row r="7">
      <x:c r="A7" s="109" t="n">
        <x:v>10</x:v>
      </x:c>
      <x:c r="B7" s="110" t="n">
        <x:f>A7*Economics!B46</x:f>
        <x:v>5213.165578556018</x:v>
      </x:c>
      <x:c r="C7" s="110" t="n">
        <x:f>B7-Economics!B54</x:f>
        <x:v>-2030.0455761409767</x:v>
      </x:c>
      <x:c r="D7" s="110" t="n">
        <x:f>C7-Economics!B57</x:f>
        <x:v>-3702.307576140977</x:v>
      </x:c>
      <x:c r="E7" s="12" t="str">
        <x:f>IF(C7&gt;=Economics!B13,"Yes","No")</x:f>
        <x:v>No</x:v>
      </x:c>
      <x:c r="F7" s="12"/>
      <x:c r="G7" s="12"/>
      <x:c r="H7" s="12"/>
    </x:row>
    <x:row r="8">
      <x:c r="A8" s="109" t="n">
        <x:v>16.95</x:v>
      </x:c>
      <x:c r="B8" s="110" t="n">
        <x:f>A8*Economics!B46</x:f>
        <x:v>8836.31565565245</x:v>
      </x:c>
      <x:c r="C8" s="110" t="n">
        <x:f>B8-Economics!B54</x:f>
        <x:v>1593.1045009554555</x:v>
      </x:c>
      <x:c r="D8" s="110" t="n">
        <x:f>C8-Economics!B57</x:f>
        <x:v>-79.15749904454469</x:v>
      </x:c>
      <x:c r="E8" s="12" t="str">
        <x:f>IF(C8&gt;=Economics!B13,"Yes","No")</x:f>
        <x:v>No</x:v>
      </x:c>
      <x:c r="F8" s="12"/>
      <x:c r="G8" s="12"/>
      <x:c r="H8" s="12"/>
    </x:row>
    <x:row r="9">
      <x:c r="A9" s="109" t="n">
        <x:v>20</x:v>
      </x:c>
      <x:c r="B9" s="110" t="n">
        <x:f>A9*Economics!B46</x:f>
        <x:v>10426.331157112036</x:v>
      </x:c>
      <x:c r="C9" s="110" t="n">
        <x:f>B9-Economics!B54</x:f>
        <x:v>3183.120002415041</x:v>
      </x:c>
      <x:c r="D9" s="110" t="n">
        <x:f>C9-Economics!B57</x:f>
        <x:v>1510.858002415041</x:v>
      </x:c>
      <x:c r="E9" s="12" t="str">
        <x:f>IF(C9&gt;=Economics!B13,"Yes","No")</x:f>
        <x:v>No</x:v>
      </x:c>
      <x:c r="F9" s="12"/>
      <x:c r="G9" s="12"/>
      <x:c r="H9" s="12"/>
    </x:row>
    <x:row r="10">
      <x:c r="A10" s="109" t="n">
        <x:v>30</x:v>
      </x:c>
      <x:c r="B10" s="110" t="n">
        <x:f>A10*Economics!B46</x:f>
        <x:v>15639.496735668054</x:v>
      </x:c>
      <x:c r="C10" s="110" t="n">
        <x:f>B10-Economics!B54</x:f>
        <x:v>8396.28558097106</x:v>
      </x:c>
      <x:c r="D10" s="110" t="n">
        <x:f>C10-Economics!B57</x:f>
        <x:v>6724.023580971059</x:v>
      </x:c>
      <x:c r="E10" s="12" t="str">
        <x:f>IF(C10&gt;=Economics!B13,"Yes","No")</x:f>
        <x:v>No</x:v>
      </x:c>
      <x:c r="F10" s="12"/>
      <x:c r="G10" s="12"/>
      <x:c r="H10" s="12"/>
    </x:row>
    <x:row r="11">
      <x:c r="A11" s="109" t="n">
        <x:v>40</x:v>
      </x:c>
      <x:c r="B11" s="110" t="n">
        <x:f>A11*Economics!B46</x:f>
        <x:v>20852.66231422407</x:v>
      </x:c>
      <x:c r="C11" s="110" t="n">
        <x:f>B11-Economics!B54</x:f>
        <x:v>13609.451159527078</x:v>
      </x:c>
      <x:c r="D11" s="110" t="n">
        <x:f>C11-Economics!B57</x:f>
        <x:v>11937.189159527077</x:v>
      </x:c>
      <x:c r="E11" s="12" t="str">
        <x:f>IF(C11&gt;=Economics!B13,"Yes","No")</x:f>
        <x:v>No</x:v>
      </x:c>
      <x:c r="F11" s="12"/>
      <x:c r="G11" s="12"/>
      <x:c r="H11" s="12"/>
    </x:row>
    <x:row r="12">
      <x:c r="A12" s="109" t="n">
        <x:v>60</x:v>
      </x:c>
      <x:c r="B12" s="110" t="n">
        <x:f>A12*Economics!B46</x:f>
        <x:v>31278.993471336107</x:v>
      </x:c>
      <x:c r="C12" s="110" t="n">
        <x:f>B12-Economics!B54</x:f>
        <x:v>24035.782316639114</x:v>
      </x:c>
      <x:c r="D12" s="110" t="n">
        <x:f>C12-Economics!B57</x:f>
        <x:v>22363.520316639115</x:v>
      </x:c>
      <x:c r="E12" s="12" t="str">
        <x:f>IF(C12&gt;=Economics!B13,"Yes","No")</x:f>
        <x:v>No</x:v>
      </x:c>
      <x:c r="F12" s="12"/>
      <x:c r="G12" s="12"/>
      <x:c r="H12" s="12"/>
    </x:row>
    <x:row r="13">
      <x:c r="A13" s="109" t="n">
        <x:v>80</x:v>
      </x:c>
      <x:c r="B13" s="110" t="n">
        <x:f>A13*Economics!B46</x:f>
        <x:v>41705.32462844814</x:v>
      </x:c>
      <x:c r="C13" s="110" t="n">
        <x:f>B13-Economics!B54</x:f>
        <x:v>34462.113473751146</x:v>
      </x:c>
      <x:c r="D13" s="110" t="n">
        <x:f>C13-Economics!B57</x:f>
        <x:v>32789.85147375114</x:v>
      </x:c>
      <x:c r="E13" s="12" t="str">
        <x:f>IF(C13&gt;=Economics!B13,"Yes","No")</x:f>
        <x:v>No</x:v>
      </x:c>
      <x:c r="F13" s="12"/>
      <x:c r="G13" s="12"/>
      <x:c r="H13" s="12"/>
    </x:row>
    <x:row r="14">
      <x:c r="A14" s="109" t="n">
        <x:v>90</x:v>
      </x:c>
      <x:c r="B14" s="110" t="n">
        <x:f>A14*Economics!B46</x:f>
        <x:v>46918.49020700416</x:v>
      </x:c>
      <x:c r="C14" s="110" t="n">
        <x:f>B14-Economics!B54</x:f>
        <x:v>39675.27905230716</x:v>
      </x:c>
      <x:c r="D14" s="110" t="n">
        <x:f>C14-Economics!B57</x:f>
        <x:v>38003.01705230716</x:v>
      </x:c>
      <x:c r="E14" s="12" t="str">
        <x:f>IF(C14&gt;=Economics!B13,"Yes","No")</x:f>
        <x:v>Yes</x:v>
      </x:c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92" t="str">
        <x:v>Required Yield at Selected Prices</x:v>
      </x:c>
      <x:c r="B16" s="92"/>
      <x:c r="C16" s="92"/>
      <x:c r="D16" s="92"/>
      <x:c r="E16" s="92"/>
      <x:c r="F16" s="92"/>
      <x:c r="G16" s="92"/>
      <x:c r="H16" s="92"/>
    </x:row>
    <x:row r="17">
      <x:c r="A17" s="93" t="str">
        <x:v>Realized price ($/lb)</x:v>
      </x:c>
      <x:c r="B17" s="93" t="str">
        <x:v>Required annual lb for $36k cash target</x:v>
      </x:c>
      <x:c r="C17" s="93" t="str">
        <x:v>Observed annual lb</x:v>
      </x:c>
      <x:c r="D17" s="93" t="str">
        <x:v>Required yield multiplier</x:v>
      </x:c>
      <x:c r="E17" s="93" t="str">
        <x:v>Required g/site/day</x:v>
      </x:c>
      <x:c r="F17" s="12"/>
      <x:c r="G17" s="12"/>
      <x:c r="H17" s="12"/>
    </x:row>
    <x:row r="18">
      <x:c r="A18" s="109" t="n">
        <x:v>7</x:v>
      </x:c>
      <x:c r="B18" s="111" t="n">
        <x:f>(Economics!B13+Economics!B54)/A18</x:f>
        <x:v>6177.601593528142</x:v>
      </x:c>
      <x:c r="C18" s="111" t="n">
        <x:f>Economics!B46</x:f>
        <x:v>521.3165578556018</x:v>
      </x:c>
      <x:c r="D18" s="112" t="n">
        <x:f>B18/C18</x:f>
        <x:v>11.850000734561862</x:v>
      </x:c>
      <x:c r="E18" s="113" t="n">
        <x:f>Economics!B8*D18</x:f>
        <x:v>6.734229626368658</x:v>
      </x:c>
      <x:c r="F18" s="12"/>
      <x:c r="G18" s="12"/>
      <x:c r="H18" s="12"/>
    </x:row>
    <x:row r="19">
      <x:c r="A19" s="109" t="n">
        <x:v>10</x:v>
      </x:c>
      <x:c r="B19" s="111" t="n">
        <x:f>(Economics!B13+Economics!B54)/A19</x:f>
        <x:v>4324.3211154697</x:v>
      </x:c>
      <x:c r="C19" s="111" t="n">
        <x:f>Economics!B46</x:f>
        <x:v>521.3165578556018</x:v>
      </x:c>
      <x:c r="D19" s="112" t="n">
        <x:f>B19/C19</x:f>
        <x:v>8.295000514193305</x:v>
      </x:c>
      <x:c r="E19" s="113" t="n">
        <x:f>Economics!B8*D19</x:f>
        <x:v>4.713960738458062</x:v>
      </x:c>
      <x:c r="F19" s="12"/>
      <x:c r="G19" s="12"/>
      <x:c r="H19" s="12"/>
    </x:row>
    <x:row r="20">
      <x:c r="A20" s="109" t="n">
        <x:v>16.95</x:v>
      </x:c>
      <x:c r="B20" s="111" t="n">
        <x:f>(Economics!B13+Economics!B54)/A20</x:f>
        <x:v>2551.2218970322715</x:v>
      </x:c>
      <x:c r="C20" s="111" t="n">
        <x:f>Economics!B46</x:f>
        <x:v>521.3165578556018</x:v>
      </x:c>
      <x:c r="D20" s="112" t="n">
        <x:f>B20/C20</x:f>
        <x:v>4.893805613093395</x:v>
      </x:c>
      <x:c r="E20" s="113" t="n">
        <x:f>Economics!B8*D20</x:f>
        <x:v>2.7810977808012165</x:v>
      </x:c>
      <x:c r="F20" s="12"/>
      <x:c r="G20" s="12"/>
      <x:c r="H20" s="12"/>
    </x:row>
    <x:row r="21">
      <x:c r="A21" s="109" t="n">
        <x:v>20</x:v>
      </x:c>
      <x:c r="B21" s="111" t="n">
        <x:f>(Economics!B13+Economics!B54)/A21</x:f>
        <x:v>2162.16055773485</x:v>
      </x:c>
      <x:c r="C21" s="111" t="n">
        <x:f>Economics!B46</x:f>
        <x:v>521.3165578556018</x:v>
      </x:c>
      <x:c r="D21" s="112" t="n">
        <x:f>B21/C21</x:f>
        <x:v>4.147500257096652</x:v>
      </x:c>
      <x:c r="E21" s="113" t="n">
        <x:f>Economics!B8*D21</x:f>
        <x:v>2.356980369229031</x:v>
      </x:c>
      <x:c r="F21" s="12"/>
      <x:c r="G21" s="12"/>
      <x:c r="H21" s="12"/>
    </x:row>
    <x:row r="22">
      <x:c r="A22" s="109" t="n">
        <x:v>30</x:v>
      </x:c>
      <x:c r="B22" s="111" t="n">
        <x:f>(Economics!B13+Economics!B54)/A22</x:f>
        <x:v>1441.4403718232331</x:v>
      </x:c>
      <x:c r="C22" s="111" t="n">
        <x:f>Economics!B46</x:f>
        <x:v>521.3165578556018</x:v>
      </x:c>
      <x:c r="D22" s="112" t="n">
        <x:f>B22/C22</x:f>
        <x:v>2.7650001713977677</x:v>
      </x:c>
      <x:c r="E22" s="113" t="n">
        <x:f>Economics!B8*D22</x:f>
        <x:v>1.571320246152687</x:v>
      </x:c>
      <x:c r="F22" s="12"/>
      <x:c r="G22" s="12"/>
      <x:c r="H22" s="12"/>
    </x:row>
    <x:row r="23">
      <x:c r="A23" s="109" t="n">
        <x:v>40</x:v>
      </x:c>
      <x:c r="B23" s="111" t="n">
        <x:f>(Economics!B13+Economics!B54)/A23</x:f>
        <x:v>1081.080278867425</x:v>
      </x:c>
      <x:c r="C23" s="111" t="n">
        <x:f>Economics!B46</x:f>
        <x:v>521.3165578556018</x:v>
      </x:c>
      <x:c r="D23" s="112" t="n">
        <x:f>B23/C23</x:f>
        <x:v>2.073750128548326</x:v>
      </x:c>
      <x:c r="E23" s="113" t="n">
        <x:f>Economics!B8*D23</x:f>
        <x:v>1.1784901846145155</x:v>
      </x:c>
      <x:c r="F23" s="12"/>
      <x:c r="G23" s="12"/>
      <x:c r="H23" s="12"/>
    </x:row>
    <x:row r="24">
      <x:c r="A24" s="109" t="n">
        <x:v>60</x:v>
      </x:c>
      <x:c r="B24" s="111" t="n">
        <x:f>(Economics!B13+Economics!B54)/A24</x:f>
        <x:v>720.7201859116166</x:v>
      </x:c>
      <x:c r="C24" s="111" t="n">
        <x:f>Economics!B46</x:f>
        <x:v>521.3165578556018</x:v>
      </x:c>
      <x:c r="D24" s="112" t="n">
        <x:f>B24/C24</x:f>
        <x:v>1.3825000856988838</x:v>
      </x:c>
      <x:c r="E24" s="113" t="n">
        <x:f>Economics!B8*D24</x:f>
        <x:v>0.7856601230763435</x:v>
      </x:c>
      <x:c r="F24" s="12"/>
      <x:c r="G24" s="12"/>
      <x:c r="H24" s="12"/>
    </x:row>
    <x:row r="25">
      <x:c r="A25" s="109" t="n">
        <x:v>80</x:v>
      </x:c>
      <x:c r="B25" s="111" t="n">
        <x:f>(Economics!B13+Economics!B54)/A25</x:f>
        <x:v>540.5401394337125</x:v>
      </x:c>
      <x:c r="C25" s="111" t="n">
        <x:f>Economics!B46</x:f>
        <x:v>521.3165578556018</x:v>
      </x:c>
      <x:c r="D25" s="112" t="n">
        <x:f>B25/C25</x:f>
        <x:v>1.036875064274163</x:v>
      </x:c>
      <x:c r="E25" s="113" t="n">
        <x:f>Economics!B8*D25</x:f>
        <x:v>0.5892450923072577</x:v>
      </x:c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b19ad252b284758"/>
</x:worksheet>
</file>